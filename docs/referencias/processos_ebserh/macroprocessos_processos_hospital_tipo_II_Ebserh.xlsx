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bserhnet-my.sharepoint.com/personal/tassio_silva_ebserh_gov_br/Documents/HC_DEV/Sistema de Gestão de Riscos/docs/referencias/processos_ebserh/"/>
    </mc:Choice>
  </mc:AlternateContent>
  <xr:revisionPtr revIDLastSave="1" documentId="8_{64A70145-67B2-4E25-8CDB-7E52F63879C4}" xr6:coauthVersionLast="47" xr6:coauthVersionMax="47" xr10:uidLastSave="{5F837A24-DE36-4005-B412-5B9FAC606542}"/>
  <bookViews>
    <workbookView xWindow="-120" yWindow="-120" windowWidth="29040" windowHeight="15720" xr2:uid="{00000000-000D-0000-FFFF-FFFF00000000}"/>
  </bookViews>
  <sheets>
    <sheet name="Detalhamento" sheetId="1" r:id="rId1"/>
    <sheet name="Por unidade" sheetId="2" r:id="rId2"/>
    <sheet name="Resum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3" l="1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B7" i="3"/>
  <c r="B6" i="3"/>
  <c r="B5" i="3"/>
</calcChain>
</file>

<file path=xl/sharedStrings.xml><?xml version="1.0" encoding="utf-8"?>
<sst xmlns="http://schemas.openxmlformats.org/spreadsheetml/2006/main" count="1079" uniqueCount="380">
  <si>
    <t>Área de gestão</t>
  </si>
  <si>
    <t>Caminho organizacional no documento</t>
  </si>
  <si>
    <t>Macroprocesso</t>
  </si>
  <si>
    <t>Processo</t>
  </si>
  <si>
    <t>Página PDF</t>
  </si>
  <si>
    <t>Áreas diretamente vinculadas</t>
  </si>
  <si>
    <t>Hospital Tipo II &gt; Auditoria</t>
  </si>
  <si>
    <t>Realizar ações de auditoria</t>
  </si>
  <si>
    <t>Realizar ações avaliativas</t>
  </si>
  <si>
    <t>Gerir plano de providência permanente</t>
  </si>
  <si>
    <t>Realizar ações de consultoria em atividades de controle interno</t>
  </si>
  <si>
    <t>Hospital Tipo II &gt; Ouvidoria</t>
  </si>
  <si>
    <t>Gerir demandas da população</t>
  </si>
  <si>
    <t>Tratar demandas da população</t>
  </si>
  <si>
    <t>Gerir pesquisa de satisfação</t>
  </si>
  <si>
    <t>Gerir pesquisa de satisfação (usuário SUS e residentes)</t>
  </si>
  <si>
    <t>Promover transparência institucional</t>
  </si>
  <si>
    <t>Gerir ações de transparência</t>
  </si>
  <si>
    <t>Gerir carta de serviços (CS)</t>
  </si>
  <si>
    <t>Superintendência</t>
  </si>
  <si>
    <t>Hospital Tipo II &gt; Superintendência &gt; STGQ/Unidade de Gestão da Qualidade e Segurança do Paciente</t>
  </si>
  <si>
    <t>Gerir selo Ebserh de qualidade</t>
  </si>
  <si>
    <t>Realizar avaliação interna da qualidade</t>
  </si>
  <si>
    <t>Realizar gestão documental</t>
  </si>
  <si>
    <t>Gerir documentação da qualidade</t>
  </si>
  <si>
    <t>Monitorar resultados</t>
  </si>
  <si>
    <t>Definir indicadores e metas</t>
  </si>
  <si>
    <t>Mensurar indicadores</t>
  </si>
  <si>
    <t>Avaliar resultados</t>
  </si>
  <si>
    <t>Gerir qualidade</t>
  </si>
  <si>
    <t>Gerir ações de segurança do paciente</t>
  </si>
  <si>
    <t>Gerir ações de humanização</t>
  </si>
  <si>
    <t>Gerir programa Ebserh de gestão à vista</t>
  </si>
  <si>
    <t>Hospital Tipo II &gt; Superintendência &gt; STGQ/Unidade de Vigilância em Saúde</t>
  </si>
  <si>
    <t>Gerir vigilância sanitária</t>
  </si>
  <si>
    <t>Gerir vigilância epidemiológica</t>
  </si>
  <si>
    <t>Hospital Tipo II &gt; Superintendência &gt; SEGOV/Unidade de Planejamento, Gestão de Riscos e Controles Internos</t>
  </si>
  <si>
    <t>Gerir inovação</t>
  </si>
  <si>
    <t>Gerir idealização</t>
  </si>
  <si>
    <t>Gerir conversão/prototipação de ideias</t>
  </si>
  <si>
    <t>Gerir conhecimento</t>
  </si>
  <si>
    <t>Gerir portfólio de projetos</t>
  </si>
  <si>
    <t>Desenvolver portfólio</t>
  </si>
  <si>
    <t>Gerenciar portfólio</t>
  </si>
  <si>
    <t>Entregar benefícios</t>
  </si>
  <si>
    <t>Gerir projetos</t>
  </si>
  <si>
    <t>Gerir mudança</t>
  </si>
  <si>
    <t>Avaliar proposta</t>
  </si>
  <si>
    <t>Planejar projeto</t>
  </si>
  <si>
    <t>Executar projeto</t>
  </si>
  <si>
    <t>Entregar resultado</t>
  </si>
  <si>
    <t>Realizar governança de processos</t>
  </si>
  <si>
    <t>Gerir escritório de processos</t>
  </si>
  <si>
    <t>Realizar melhoria contínua de processos de negócio</t>
  </si>
  <si>
    <t>Realizar gestão do dia a dia</t>
  </si>
  <si>
    <t>Realizar transformação de processos</t>
  </si>
  <si>
    <t>Gerir arquitetura organizacional</t>
  </si>
  <si>
    <t>Solicitar alterações na arquitetura organizacional</t>
  </si>
  <si>
    <t>Gerir estratégia</t>
  </si>
  <si>
    <t>Elaborar planos diretores</t>
  </si>
  <si>
    <t>Monitorar desempenho da estratégia</t>
  </si>
  <si>
    <t>Elaborar relatórios de prestação de contas para a sociedade</t>
  </si>
  <si>
    <t>Gerir riscos</t>
  </si>
  <si>
    <t>Realizar identificação e avaliação dos eventos de riscos</t>
  </si>
  <si>
    <t>Estabelecer atividades de controle para os riscos priorizados</t>
  </si>
  <si>
    <t>Monitorar os riscos</t>
  </si>
  <si>
    <t>Hospital Tipo II &gt; Superintendência &gt; SETISD/Unidade de Sistemas da Informação e Inteligência de Dados</t>
  </si>
  <si>
    <t>Prover soluções de sistemas de informação</t>
  </si>
  <si>
    <t>Gerir disponibilidade de sistemas de informação</t>
  </si>
  <si>
    <t>Gerir necessidade de sistemas de informação</t>
  </si>
  <si>
    <t>Desenvolver sistemas de informação</t>
  </si>
  <si>
    <t>Implantar sistemas de informação</t>
  </si>
  <si>
    <t>Institucionalizar soluções de TI</t>
  </si>
  <si>
    <t>Realizar suporte de TI</t>
  </si>
  <si>
    <t>Prover suporte de sistemas de informação</t>
  </si>
  <si>
    <t>Prover painéis de análise de dados</t>
  </si>
  <si>
    <t>Elaborar painéis de análise de dados</t>
  </si>
  <si>
    <t>Gerir disponibilidade de painéis de análise de dados</t>
  </si>
  <si>
    <t>Prover suporte de painéis de análise de dados</t>
  </si>
  <si>
    <t>Prover arquitetura de dados</t>
  </si>
  <si>
    <t>Definir diretrizes de análise de dados</t>
  </si>
  <si>
    <t>Armazenar dados</t>
  </si>
  <si>
    <t>Tratar dados</t>
  </si>
  <si>
    <t>Disponibilizar fonte de dados</t>
  </si>
  <si>
    <t>Hospital Tipo II &gt; Superintendência &gt; SETISD/Unidade de Infraestrutura, Suporte e Segurança de Tecnologia da Informação</t>
  </si>
  <si>
    <t>Prover infraestrutura de TI</t>
  </si>
  <si>
    <t>Gerir necessidade de infraestrutura de TI</t>
  </si>
  <si>
    <t>Implantar infraestrutura de TI</t>
  </si>
  <si>
    <t>Gerir disponibilidade de infraestrutura de TI</t>
  </si>
  <si>
    <t>Prover suporte de infraestrutura de TI</t>
  </si>
  <si>
    <t>Prover suporte de segurança de TI</t>
  </si>
  <si>
    <t>Gerir requisições de suporte de TI</t>
  </si>
  <si>
    <t>Hospital Tipo II &gt; Superintendência &gt; STCOR/Unidade de Regulação Assistencial</t>
  </si>
  <si>
    <t>Regular acesso aos serviços assistenciais</t>
  </si>
  <si>
    <t>Gerir agenda do ambulatório</t>
  </si>
  <si>
    <t>Gerir leito</t>
  </si>
  <si>
    <t>Gerir agenda do centro cirúrgico</t>
  </si>
  <si>
    <t>Gerir agenda de apoio a diagnóstico</t>
  </si>
  <si>
    <t>Gerir transferências internas</t>
  </si>
  <si>
    <t>Saída ambulatorial</t>
  </si>
  <si>
    <t>Gerir alta ambulatorial</t>
  </si>
  <si>
    <t>Gerir alta hospitalar</t>
  </si>
  <si>
    <t>Gerir admissão de pacientes</t>
  </si>
  <si>
    <t>Gerir admissão ambulatorial</t>
  </si>
  <si>
    <t>Gerir admissão hospitalar</t>
  </si>
  <si>
    <t>Identificar capacidade instalada</t>
  </si>
  <si>
    <t>Identificar oferta do ambulatório</t>
  </si>
  <si>
    <t>Identificar oferta da internação</t>
  </si>
  <si>
    <t>Identificar oferta do centro cirúrgico</t>
  </si>
  <si>
    <t>Identificar oferta dos serviços de apoio diagnóstico</t>
  </si>
  <si>
    <t>Hospital Tipo II &gt; Superintendência &gt; STCOR/Unidade de Contratualização</t>
  </si>
  <si>
    <t>Internalizar instrumento formal de contratualização</t>
  </si>
  <si>
    <t>Implantar contrato interno de gestão</t>
  </si>
  <si>
    <t>Gerir instrumento formal de contratualização</t>
  </si>
  <si>
    <t>Formalizar instrumento de contratualização SUS</t>
  </si>
  <si>
    <t>Monitorar desempenho da contratualização</t>
  </si>
  <si>
    <t>Hospital Tipo II &gt; Superintendência &gt; STCOR/Unidade de Gestão e Processamento da Informação Assistencial</t>
  </si>
  <si>
    <t>Gerir processamento da informação assistencial</t>
  </si>
  <si>
    <t>Gerir o cadastro dos hospitais no CNES</t>
  </si>
  <si>
    <t>Processar informação assistencial</t>
  </si>
  <si>
    <t>Gerir glosas/rejeições</t>
  </si>
  <si>
    <t>Gerir informação clínica em meio físico</t>
  </si>
  <si>
    <t>Gerir prontuário físico do paciente</t>
  </si>
  <si>
    <t>Gerir arquivo de prontuários físicos do paciente</t>
  </si>
  <si>
    <t>Digitalizar prontuários</t>
  </si>
  <si>
    <t>Gerir digitalização de prontuários físicos</t>
  </si>
  <si>
    <t>Gerir prontuário eletrônico do paciente</t>
  </si>
  <si>
    <t>Hospital Tipo II &gt; Superintendência &gt; Unidade de Comunicação Social</t>
  </si>
  <si>
    <t>Realizar promoção institucional</t>
  </si>
  <si>
    <t>Planejar campanhas</t>
  </si>
  <si>
    <t>Aprovar a aplicação da marca da Ebserh</t>
  </si>
  <si>
    <t>Organizar eventos</t>
  </si>
  <si>
    <t>Criar/editar produtos de design gráfico</t>
  </si>
  <si>
    <t>Gerir conteúdo comunicacional</t>
  </si>
  <si>
    <t>Produzir matéria jornalística e comunicados</t>
  </si>
  <si>
    <t>Gerir mídias e portais da internet e intranet</t>
  </si>
  <si>
    <t>Realizar produção audiovisual</t>
  </si>
  <si>
    <t>Gerir redes sociais</t>
  </si>
  <si>
    <t>Gerir relacionamento com a imprensa</t>
  </si>
  <si>
    <t>Atender demandas da imprensa</t>
  </si>
  <si>
    <t>Produzir sugestão de pauta para a imprensa</t>
  </si>
  <si>
    <t>Monitorar informações na mídia</t>
  </si>
  <si>
    <t>GAS</t>
  </si>
  <si>
    <t>Hospital Tipo II &gt; Gerência de Atenção à Saúde</t>
  </si>
  <si>
    <t>Implantar as unidades de produção</t>
  </si>
  <si>
    <t>Realizar investigação clínica</t>
  </si>
  <si>
    <t>Realizar exames de imagem</t>
  </si>
  <si>
    <t>Realizar exames laboratoriais</t>
  </si>
  <si>
    <t>Realizar exames de métodos gráficos</t>
  </si>
  <si>
    <t>Gerir admissão na urgência e emergência</t>
  </si>
  <si>
    <t>Gestão de óbitos</t>
  </si>
  <si>
    <t>Gerir alta por óbito</t>
  </si>
  <si>
    <t>Gerir doação de órgãos</t>
  </si>
  <si>
    <t>Realizar necrópsia</t>
  </si>
  <si>
    <t>Realizar tratamento ambulatorial</t>
  </si>
  <si>
    <t>Realizar consulta ambulatorial</t>
  </si>
  <si>
    <t>Realizar cirurgia ambulatorial</t>
  </si>
  <si>
    <t>Realizar tratamento em hospital dia</t>
  </si>
  <si>
    <t>Realizar tratamento ambulatorial especializado</t>
  </si>
  <si>
    <t>Realizar tratamento hospitalar</t>
  </si>
  <si>
    <t>Realizar internação clínica</t>
  </si>
  <si>
    <t>Realizar tratamento em terapia intensiva</t>
  </si>
  <si>
    <t>Realizar tratamento cirúrgico</t>
  </si>
  <si>
    <t>Realizar tratamento domiciliar</t>
  </si>
  <si>
    <t>Realizar atendimento domiciliar</t>
  </si>
  <si>
    <t>Realizar tratamento em urgência e emergência</t>
  </si>
  <si>
    <t>Realizar atendimento em urgência e emergência</t>
  </si>
  <si>
    <t>Gerir prestação de serviços de apoio diagnóstico e terapêutico</t>
  </si>
  <si>
    <t>Processar produtos para saúde (CME)</t>
  </si>
  <si>
    <t>Gerir banco de material biológico</t>
  </si>
  <si>
    <t>Gerir cuidados médicos</t>
  </si>
  <si>
    <t>Gerir cuidado de enfermagem</t>
  </si>
  <si>
    <t>Gerir cuidados da equipe multiprofissional</t>
  </si>
  <si>
    <t>Gerir linhas de cuidado</t>
  </si>
  <si>
    <t>Definir linhas de cuidado</t>
  </si>
  <si>
    <t>Estruturar linhas de cuidado</t>
  </si>
  <si>
    <t>Implementar linhas de cuidado</t>
  </si>
  <si>
    <t>Realizar tratamento mediado pela tecnologia</t>
  </si>
  <si>
    <t>Realizar teleconsulta</t>
  </si>
  <si>
    <t>Gerir serviços mediados pela tecnologia</t>
  </si>
  <si>
    <t>Realizar teleconsultoria</t>
  </si>
  <si>
    <t>Realizar teleinterconsulta</t>
  </si>
  <si>
    <t>GAD</t>
  </si>
  <si>
    <t>Hospital Tipo II &gt; GAD &gt; DAF/SAD/Unidade de Compras e Licitações</t>
  </si>
  <si>
    <t>Realizar contratações</t>
  </si>
  <si>
    <t>Planejar contratação</t>
  </si>
  <si>
    <t>Selecionar fornecedor</t>
  </si>
  <si>
    <t>Monitorar contratações locais</t>
  </si>
  <si>
    <t>Hospital Tipo II &gt; GAD &gt; DAF/SAD/Unidade de Patrimônio</t>
  </si>
  <si>
    <t>Realizar gestão patrimonial</t>
  </si>
  <si>
    <t>Incorporar bens permanentes</t>
  </si>
  <si>
    <t>Gerir movimentações de bens permanentes</t>
  </si>
  <si>
    <t>Realizar depreciação de bens permanentes</t>
  </si>
  <si>
    <t>Realizar desfazimento de bens permanentes</t>
  </si>
  <si>
    <t>Realizar gestão documental de móveis e imóveis</t>
  </si>
  <si>
    <t>Realizar governança de patrimônio</t>
  </si>
  <si>
    <t>Monitorar patrimônio</t>
  </si>
  <si>
    <t>Realizar inventário patrimonial</t>
  </si>
  <si>
    <t>Hospital Tipo II &gt; GAD &gt; DAF/SAD/Unidade de Contratos</t>
  </si>
  <si>
    <t>Gerir contratos e atas de registro de preços</t>
  </si>
  <si>
    <t>Formalizar contratação</t>
  </si>
  <si>
    <t>Formalizar e gerir ARP</t>
  </si>
  <si>
    <t>Fiscalizar contratação</t>
  </si>
  <si>
    <t>Hospital Tipo II &gt; GAD &gt; DAF/SAD/Unidade de Fiscalização Administrativa de Contratos</t>
  </si>
  <si>
    <t>Hospital Tipo II &gt; GAD &gt; DAF/SGOF/Unidade de Planejamento e Gestão Orçamentária</t>
  </si>
  <si>
    <t>Gerir finanças</t>
  </si>
  <si>
    <t>Elaborar programação financeira mensal</t>
  </si>
  <si>
    <t>Monitorar disponibilidades financeiras</t>
  </si>
  <si>
    <t>Realizar apuração para encerramento do exercício</t>
  </si>
  <si>
    <t>Hospital Tipo II &gt; GAD &gt; DAF/SGOF/Unidade de Execução Orçamentária e Financeira</t>
  </si>
  <si>
    <t>Gerir orçamento</t>
  </si>
  <si>
    <t>Emitir e gerenciar empenho</t>
  </si>
  <si>
    <t>Realizar liquidação de despesa e pagamento</t>
  </si>
  <si>
    <t>Gerir alterações orçamentárias</t>
  </si>
  <si>
    <t>Gerir movimentação de créditos</t>
  </si>
  <si>
    <t>Emitir disponibilidade orçamentária</t>
  </si>
  <si>
    <t>Hospital Tipo II &gt; GAD &gt; DAF/Setor de Contabilidade</t>
  </si>
  <si>
    <t>Gerir contabilidade</t>
  </si>
  <si>
    <t>Gerir cadastros em sistemas oficiais</t>
  </si>
  <si>
    <t>Gerir registros contábeis</t>
  </si>
  <si>
    <t>Elaborar relatórios e documentos contábeis</t>
  </si>
  <si>
    <t>Elaborar declarações para órgãos fazendários/fisco</t>
  </si>
  <si>
    <t>Realizar conformidade de registro de gestão das transações</t>
  </si>
  <si>
    <t>Gerir custos</t>
  </si>
  <si>
    <t>Apurar custos hospitalares</t>
  </si>
  <si>
    <t>Mensurar custos hospitalares</t>
  </si>
  <si>
    <t>Analisar custos hospitalares</t>
  </si>
  <si>
    <t>Monitorar custos hospitalares</t>
  </si>
  <si>
    <t>Hospital Tipo II &gt; GAD &gt; DLIH/Setor de Engenharia Clínica</t>
  </si>
  <si>
    <t>Gerir equipamentos médico-hospitalares</t>
  </si>
  <si>
    <t>Gerir dimensionamento de EMH</t>
  </si>
  <si>
    <t>Gerir atualização tecnológica de EMH</t>
  </si>
  <si>
    <t>Realizar manutenção corretiva programada de EMH</t>
  </si>
  <si>
    <t>Realizar capacitações e treinamentos de EMH</t>
  </si>
  <si>
    <t>Gerir plano de substituição dos EMH</t>
  </si>
  <si>
    <t>Monitorar o parque tecnológico de EMH</t>
  </si>
  <si>
    <t>Hospital Tipo II &gt; GAD &gt; DLIH/Unidade de Serviços Gerais</t>
  </si>
  <si>
    <t>Gerir serviços de suporte</t>
  </si>
  <si>
    <t>Gerir serviços gerais</t>
  </si>
  <si>
    <t>Gerir protocolo administrativo</t>
  </si>
  <si>
    <t>Gerir arquivo físico de documentos administrativos</t>
  </si>
  <si>
    <t>Gerir diárias e passagens</t>
  </si>
  <si>
    <t>Hospital Tipo II &gt; GAD &gt; DLIH/Setor de Infraestrutura Física</t>
  </si>
  <si>
    <t>Gerir manutenção predial</t>
  </si>
  <si>
    <t>Avaliar viabilidade da manutenção predial e equipamentos de infraestrutura</t>
  </si>
  <si>
    <t>Elaborar plano de MANUTEÇÃO preventiva predial e equipamentos de infraestrutura</t>
  </si>
  <si>
    <t>Planejar manutenção predial e equipamentos de infraestrutura</t>
  </si>
  <si>
    <t>Realizar manutenção predial e equipamentos de infraestrutura</t>
  </si>
  <si>
    <t>Atualizar cadastro de infraestrutura física</t>
  </si>
  <si>
    <t>Gerir obras</t>
  </si>
  <si>
    <t>Gerir plano diretor físico</t>
  </si>
  <si>
    <t>Realizar avaliação técnica especializada</t>
  </si>
  <si>
    <t>Avaliar viabilidade do projeto</t>
  </si>
  <si>
    <t>Elaborar projetos de arquitetura e engenharias</t>
  </si>
  <si>
    <t>Fiscalizar obra</t>
  </si>
  <si>
    <t>Monitorar obra</t>
  </si>
  <si>
    <t>Receber obra</t>
  </si>
  <si>
    <t>Hospital Tipo II &gt; GAD &gt; DLIH/SAFS/Unidade de Planejamento e Dimensionamento de Estoques</t>
  </si>
  <si>
    <t>Gerir estoque</t>
  </si>
  <si>
    <t>Requisitar compra de material não padronizado</t>
  </si>
  <si>
    <t>Realizar planejamento de insumos</t>
  </si>
  <si>
    <t>Requisitar (re)suprimento de material de consumo</t>
  </si>
  <si>
    <t>Realizar governança de estoques da rede</t>
  </si>
  <si>
    <t>Monitorar estoque</t>
  </si>
  <si>
    <t>Hospital Tipo II &gt; GAD &gt; DLIH/SAFS/Unidade de Almoxarifado e Controle de Estoques</t>
  </si>
  <si>
    <t>Receber material de consumo</t>
  </si>
  <si>
    <t>Armazenar material de consumo</t>
  </si>
  <si>
    <t>Distribuir material de consumo</t>
  </si>
  <si>
    <t>Realizar movimentação de estoque na rede</t>
  </si>
  <si>
    <t>Gerir inventário</t>
  </si>
  <si>
    <t>Realizar inventário periódico</t>
  </si>
  <si>
    <t>Realizar inventário anual</t>
  </si>
  <si>
    <t>Hospital Tipo II &gt; GAD &gt; DLIH/Setor de Hotelaria Hospitalar</t>
  </si>
  <si>
    <t>Gerir serviços de hotelaria hospitalar</t>
  </si>
  <si>
    <t>Gerir gerenciamento de resíduos</t>
  </si>
  <si>
    <t>Gerir enxoval hospitalar</t>
  </si>
  <si>
    <t>Gerir o serviço de higienização hospitalar</t>
  </si>
  <si>
    <t>Gerir o serviço de controle e manejo de pragas e vetores</t>
  </si>
  <si>
    <t>Gerir áreas de uso coletivo</t>
  </si>
  <si>
    <t>Gerir transporte externo do paciente</t>
  </si>
  <si>
    <t>Gerir colchões hospitalares e travesseiros</t>
  </si>
  <si>
    <t>Gerir produção e distribuição de dietas orais</t>
  </si>
  <si>
    <t>Hospital Tipo II &gt; GAD &gt; DIVGP/Unidade de Administração de Pessoal</t>
  </si>
  <si>
    <t>Prover profissionais</t>
  </si>
  <si>
    <t>Ceder empregados Ebserh para outros órgãos</t>
  </si>
  <si>
    <t>Realizar integração, contratação e lotação de colaboradores</t>
  </si>
  <si>
    <t>Nomear gestores para cargos comissionados e funções gratificadas</t>
  </si>
  <si>
    <t>Movimentar colaboradores</t>
  </si>
  <si>
    <t>Gerir informação de pessoal</t>
  </si>
  <si>
    <t>Cadastrar novos colaboradores</t>
  </si>
  <si>
    <t>Gerir alterações nos cadastros dos empregados Ebserh</t>
  </si>
  <si>
    <t>Gerir férias, frequência e afastamento</t>
  </si>
  <si>
    <t>Elaborar relatórios fiscais e trabalhistas para órgãos de controle</t>
  </si>
  <si>
    <t>Gerir escalas de trabalho</t>
  </si>
  <si>
    <t>Elaborar atos administrativos relativos à gestão de pessoas</t>
  </si>
  <si>
    <t>Gerir relações trabalhistas</t>
  </si>
  <si>
    <t>Mensurar clima organizacional</t>
  </si>
  <si>
    <t>Gerir resolução de conflitos</t>
  </si>
  <si>
    <t>Gerir programas de aprendizagem profissional não obrigatórios</t>
  </si>
  <si>
    <t>Gerir contratação de estagiários</t>
  </si>
  <si>
    <t>Hospital Tipo II &gt; GAD &gt; DIVGP/Unidade de Desenvolvimento de Pessoal</t>
  </si>
  <si>
    <t>Desenvolver e reter pessoas</t>
  </si>
  <si>
    <t>Promover capacitação</t>
  </si>
  <si>
    <t>Gerir avaliação de desempenho</t>
  </si>
  <si>
    <t>Gerir progressão funcional de carreira</t>
  </si>
  <si>
    <t>Acompanhar período de experiência</t>
  </si>
  <si>
    <t>Gerir afastamentos para capacitações fora do país</t>
  </si>
  <si>
    <t>Hospital Tipo II &gt; GAD &gt; DIVGP/Unidade de Saúde Ocupacional e Segurança do Trabalho</t>
  </si>
  <si>
    <t>Promover segurança e saúde dos trabalhadores</t>
  </si>
  <si>
    <t>Realizar inspeções de segurança</t>
  </si>
  <si>
    <t>Gerir programas de segurança do trabalho</t>
  </si>
  <si>
    <t>Emitir laudo de insalubridade e/ou periculosidade</t>
  </si>
  <si>
    <t>Gerir acidentes de trabalho</t>
  </si>
  <si>
    <t>Gerir programas de saúde ocupacional</t>
  </si>
  <si>
    <t>Gerir prontuário médico dos trabalhadores</t>
  </si>
  <si>
    <t>GEP</t>
  </si>
  <si>
    <t>Hospital Tipo II &gt; GEP &gt; Unidade de e-Saúde</t>
  </si>
  <si>
    <t>Gerir e-Saúde</t>
  </si>
  <si>
    <t>Hospital Tipo II &gt; GEP &gt; SEGE/Unidade de Gestão de Graduação, Ensino Técnico e Extensão</t>
  </si>
  <si>
    <t>Monitorar atividades de ensino</t>
  </si>
  <si>
    <t>Monitorar atividades de extensão</t>
  </si>
  <si>
    <t>Gerir informações e acessos de estudantes e docentes</t>
  </si>
  <si>
    <t>Gerir atividades de preceptoria</t>
  </si>
  <si>
    <t>Monitorar atividades de supervisão/preceptoria de atividades de graduação e ensino técnico</t>
  </si>
  <si>
    <t>Realizar planejamento de ensino</t>
  </si>
  <si>
    <t>Planejar ações de apoio às atividades de graduação e ensino técnico</t>
  </si>
  <si>
    <t>Autorizar a realização de atividades de extensão</t>
  </si>
  <si>
    <t>Realizar acolhimento dos estudantes</t>
  </si>
  <si>
    <t>Realizar acolhimento de graduandos e alunos do ensino técnico</t>
  </si>
  <si>
    <t>Gerir estrutura de ensino</t>
  </si>
  <si>
    <t>Gerir infraestrutura dos espaços de ensino</t>
  </si>
  <si>
    <t>Gerir agenda de utilização dos espaços de ensino</t>
  </si>
  <si>
    <t>Realizar avaliação do campo de prática de ensino</t>
  </si>
  <si>
    <t>Hospital Tipo II &gt; GEP &gt; SEGE/Unidade de Gestão de Pós-graduação</t>
  </si>
  <si>
    <t>Planejar ações de apoio às atividades de pós-graduação</t>
  </si>
  <si>
    <t>Planejar ações de apoio às atividades de residência</t>
  </si>
  <si>
    <t>Realizar seleção de residentes</t>
  </si>
  <si>
    <t>Realizar processo seletivo para programas de residências Ebserh</t>
  </si>
  <si>
    <t>Gerir participação no Exame Nacional de Residências Ebserh</t>
  </si>
  <si>
    <t>Matricular residentes</t>
  </si>
  <si>
    <t>Realizar acolhimento dos residentes</t>
  </si>
  <si>
    <t>Realizar prática de ensino</t>
  </si>
  <si>
    <t>Gerir escala dos residentes</t>
  </si>
  <si>
    <t>Monitorar treinamento em serviço dos residentes</t>
  </si>
  <si>
    <t>Realizar treinamento em serviço dos residentes</t>
  </si>
  <si>
    <t>Gerir mobilidade em rede nos estágios opcionais das residências</t>
  </si>
  <si>
    <t>Avaliar residentes</t>
  </si>
  <si>
    <t>Gerir modelo de atuação da supervisão e preceptoria na Rede Ebserh</t>
  </si>
  <si>
    <t>Planejar qualificação de preceptores</t>
  </si>
  <si>
    <t>Hospital Tipo II &gt; GEP &gt; SGPITS/Unidade de Gestão da Pesquisa</t>
  </si>
  <si>
    <t>Autorizar realização de pesquisa</t>
  </si>
  <si>
    <t>Monitorar pesquisa</t>
  </si>
  <si>
    <t>Monitorar atividades de pesquisa acadêmica</t>
  </si>
  <si>
    <t>Monitorar atividades de pesquisa patrocinada</t>
  </si>
  <si>
    <t>Consolidar resultados de pesquisa</t>
  </si>
  <si>
    <t>Consolidar resultados dos projetos de pesquisa</t>
  </si>
  <si>
    <t>Gerir estrutura do campo de prática de pesquisa</t>
  </si>
  <si>
    <t>Gerir infraestrutura para realização de pesquisa</t>
  </si>
  <si>
    <t>Hospital Tipo II &gt; GEP &gt; SGPITS/Unidade de Gestão da Inovação Tecnológica em Saúde</t>
  </si>
  <si>
    <t>Avaliar tecnologias em saúde</t>
  </si>
  <si>
    <t>Realizar avaliação de tecnologias em saúde (ATS)</t>
  </si>
  <si>
    <t>Qtde. de macroprocessos</t>
  </si>
  <si>
    <t>Qtde. de processos</t>
  </si>
  <si>
    <t>Hospital Tipo II | Macroprocessos e Processos por Unidade</t>
  </si>
  <si>
    <t>Transcrição dos quadros de associação por área funcional do documento Arquitetura de Processos e Arquitetura Organizacional da Rede Ebserh.</t>
  </si>
  <si>
    <t>Indicador</t>
  </si>
  <si>
    <t>Quantidade</t>
  </si>
  <si>
    <t>Áreas/unidades com mapeamento</t>
  </si>
  <si>
    <t>Macroprocessos associados (contagem por unidade)</t>
  </si>
  <si>
    <t>Processos associados (contagem por unidade)</t>
  </si>
  <si>
    <t>Unidades/áreas</t>
  </si>
  <si>
    <t>Macroprocessos</t>
  </si>
  <si>
    <t>Processos</t>
  </si>
  <si>
    <t>Escopo, critérios e observações</t>
  </si>
  <si>
    <t>Fonte: PDF anexado, “Arquitetura de Processos e Arquitetura Organizacional da Rede Ebserh”, versão 1.8; mapas do Hospital Tipo II nas páginas 170–206 do arquivo.</t>
  </si>
  <si>
    <t>Nos mapas, as caixas verdes representam macroprocessos e as caixas brancas representam processos. A aba Detalhamento mantém uma linha por processo e repete o macroprocesso para facilitar filtros e pesquisas.</t>
  </si>
  <si>
    <t>As páginas 172, 182, 184 e 201 são quadros organizacionais/estruturais; não foram tratados como mapas de processos próprios.</t>
  </si>
  <si>
    <t>A GAS é apresentada com mapeamento no nível da “Gerência de Atenção à Saúde” (página 183). O documento informa que a formatação das unidades e setores assistenciais depende do perfil do hospital; portanto, não foram inferidas associações por unidades assistenciais não discriminadas nessa página.</t>
  </si>
  <si>
    <t>O documento informa que “Processos Comuns” se aplicam a todas as áreas funcionais e são acessados por link nas telas de associação; a lista desses processos não está aberta nos quadros específicos por unidade transcritos nesta planilha, por isso não foi presumida nem replicada.</t>
  </si>
  <si>
    <t>As denominações foram transcritas dos quadros. Grafias aparentemente incorretas existentes no original, como “MANUTEÇÃO” no processo de plano de manutenção predial (página 194), foram mantidas para rastreabilidade.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</si>
</sst>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11"/>
      <color rgb="FF112641"/>
      <name val="Carlito"/>
    </font>
    <font>
      <b/>
      <sz val="12"/>
      <color rgb="FFFFFFFF"/>
      <name val="Carlito"/>
    </font>
    <font>
      <sz val="10"/>
      <color rgb="FF334155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2641"/>
      </patternFill>
    </fill>
    <fill>
      <patternFill patternType="solid">
        <fgColor rgb="FF22C5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vertical="center" wrapText="1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5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hamentoProcessos" displayName="DetalhamentoProcessos" ref="A1:E246" totalsRowShown="0">
  <autoFilter ref="A1:E246" xr:uid="{00000000-000C-0000-FFFF-FFFF00000000}">
    <filterColumn colId="1">
      <filters>
        <filter val="Hospital Tipo II &gt; Superintendência &gt; SEGOV/Unidade de Planejamento, Gestão de Riscos e Controles Internos"/>
      </filters>
    </filterColumn>
  </autoFilter>
  <tableColumns count="5">
    <tableColumn id="1" xr3:uid="{00000000-0010-0000-0000-000001000000}" name="Área de gestão"/>
    <tableColumn id="2" xr3:uid="{00000000-0010-0000-0000-000002000000}" name="Caminho organizacional no documento"/>
    <tableColumn id="3" xr3:uid="{00000000-0010-0000-0000-000003000000}" name="Macroprocesso"/>
    <tableColumn id="4" xr3:uid="{00000000-0010-0000-0000-000004000000}" name="Processo"/>
    <tableColumn id="5" xr3:uid="{00000000-0010-0000-0000-000005000000}" name="Página PD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moUnidades" displayName="ResumoUnidades" ref="A1:E34" totalsRowShown="0">
  <tableColumns count="5">
    <tableColumn id="1" xr3:uid="{00000000-0010-0000-0100-000001000000}" name="Área de gestão"/>
    <tableColumn id="2" xr3:uid="{00000000-0010-0000-0100-000002000000}" name="Caminho organizacional no documento"/>
    <tableColumn id="3" xr3:uid="{00000000-0010-0000-0100-000003000000}" name="Qtde. de macroprocessos"/>
    <tableColumn id="4" xr3:uid="{00000000-0010-0000-0100-000004000000}" name="Qtde. de processos"/>
    <tableColumn id="5" xr3:uid="{00000000-0010-0000-0100-000005000000}" name="Página PD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25"/>
  <cols>
    <col min="1" max="1" width="26" customWidth="1"/>
    <col min="2" max="2" width="74" customWidth="1"/>
    <col min="3" max="3" width="42" customWidth="1"/>
    <col min="4" max="4" width="62" customWidth="1"/>
    <col min="5" max="5" width="12" customWidth="1"/>
  </cols>
  <sheetData>
    <row r="1" spans="1: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idden="1">
      <c r="A2" s="2" t="s">
        <v>5</v>
      </c>
      <c r="B2" s="2" t="s">
        <v>6</v>
      </c>
      <c r="C2" s="2" t="s">
        <v>7</v>
      </c>
      <c r="D2" s="2" t="s">
        <v>8</v>
      </c>
      <c r="E2" s="3">
        <v>170</v>
      </c>
    </row>
    <row r="3" spans="1:5" hidden="1">
      <c r="A3" s="2" t="s">
        <v>5</v>
      </c>
      <c r="B3" s="2" t="s">
        <v>6</v>
      </c>
      <c r="C3" s="2" t="s">
        <v>7</v>
      </c>
      <c r="D3" s="2" t="s">
        <v>9</v>
      </c>
      <c r="E3" s="3">
        <v>170</v>
      </c>
    </row>
    <row r="4" spans="1:5" hidden="1">
      <c r="A4" s="2" t="s">
        <v>5</v>
      </c>
      <c r="B4" s="2" t="s">
        <v>6</v>
      </c>
      <c r="C4" s="2" t="s">
        <v>7</v>
      </c>
      <c r="D4" s="2" t="s">
        <v>10</v>
      </c>
      <c r="E4" s="3">
        <v>170</v>
      </c>
    </row>
    <row r="5" spans="1:5" hidden="1">
      <c r="A5" s="2" t="s">
        <v>5</v>
      </c>
      <c r="B5" s="2" t="s">
        <v>11</v>
      </c>
      <c r="C5" s="2" t="s">
        <v>12</v>
      </c>
      <c r="D5" s="2" t="s">
        <v>13</v>
      </c>
      <c r="E5" s="3">
        <v>171</v>
      </c>
    </row>
    <row r="6" spans="1:5" hidden="1">
      <c r="A6" s="2" t="s">
        <v>5</v>
      </c>
      <c r="B6" s="2" t="s">
        <v>11</v>
      </c>
      <c r="C6" s="2" t="s">
        <v>14</v>
      </c>
      <c r="D6" s="2" t="s">
        <v>15</v>
      </c>
      <c r="E6" s="3">
        <v>171</v>
      </c>
    </row>
    <row r="7" spans="1:5" hidden="1">
      <c r="A7" s="2" t="s">
        <v>5</v>
      </c>
      <c r="B7" s="2" t="s">
        <v>11</v>
      </c>
      <c r="C7" s="2" t="s">
        <v>16</v>
      </c>
      <c r="D7" s="2" t="s">
        <v>17</v>
      </c>
      <c r="E7" s="3">
        <v>171</v>
      </c>
    </row>
    <row r="8" spans="1:5" hidden="1">
      <c r="A8" s="2" t="s">
        <v>5</v>
      </c>
      <c r="B8" s="2" t="s">
        <v>11</v>
      </c>
      <c r="C8" s="2" t="s">
        <v>16</v>
      </c>
      <c r="D8" s="2" t="s">
        <v>18</v>
      </c>
      <c r="E8" s="3">
        <v>171</v>
      </c>
    </row>
    <row r="9" spans="1:5" ht="28.5" hidden="1">
      <c r="A9" s="2" t="s">
        <v>19</v>
      </c>
      <c r="B9" s="2" t="s">
        <v>20</v>
      </c>
      <c r="C9" s="2" t="s">
        <v>21</v>
      </c>
      <c r="D9" s="2" t="s">
        <v>22</v>
      </c>
      <c r="E9" s="3">
        <v>173</v>
      </c>
    </row>
    <row r="10" spans="1:5" ht="28.5" hidden="1">
      <c r="A10" s="2" t="s">
        <v>19</v>
      </c>
      <c r="B10" s="2" t="s">
        <v>20</v>
      </c>
      <c r="C10" s="2" t="s">
        <v>23</v>
      </c>
      <c r="D10" s="2" t="s">
        <v>24</v>
      </c>
      <c r="E10" s="3">
        <v>173</v>
      </c>
    </row>
    <row r="11" spans="1:5" ht="28.5" hidden="1">
      <c r="A11" s="2" t="s">
        <v>19</v>
      </c>
      <c r="B11" s="2" t="s">
        <v>20</v>
      </c>
      <c r="C11" s="2" t="s">
        <v>25</v>
      </c>
      <c r="D11" s="2" t="s">
        <v>26</v>
      </c>
      <c r="E11" s="3">
        <v>173</v>
      </c>
    </row>
    <row r="12" spans="1:5" ht="28.5" hidden="1">
      <c r="A12" s="2" t="s">
        <v>19</v>
      </c>
      <c r="B12" s="2" t="s">
        <v>20</v>
      </c>
      <c r="C12" s="2" t="s">
        <v>25</v>
      </c>
      <c r="D12" s="2" t="s">
        <v>27</v>
      </c>
      <c r="E12" s="3">
        <v>173</v>
      </c>
    </row>
    <row r="13" spans="1:5" ht="28.5" hidden="1">
      <c r="A13" s="2" t="s">
        <v>19</v>
      </c>
      <c r="B13" s="2" t="s">
        <v>20</v>
      </c>
      <c r="C13" s="2" t="s">
        <v>25</v>
      </c>
      <c r="D13" s="2" t="s">
        <v>28</v>
      </c>
      <c r="E13" s="3">
        <v>173</v>
      </c>
    </row>
    <row r="14" spans="1:5" ht="28.5" hidden="1">
      <c r="A14" s="2" t="s">
        <v>19</v>
      </c>
      <c r="B14" s="2" t="s">
        <v>20</v>
      </c>
      <c r="C14" s="2" t="s">
        <v>29</v>
      </c>
      <c r="D14" s="2" t="s">
        <v>30</v>
      </c>
      <c r="E14" s="3">
        <v>173</v>
      </c>
    </row>
    <row r="15" spans="1:5" ht="28.5" hidden="1">
      <c r="A15" s="2" t="s">
        <v>19</v>
      </c>
      <c r="B15" s="2" t="s">
        <v>20</v>
      </c>
      <c r="C15" s="2" t="s">
        <v>29</v>
      </c>
      <c r="D15" s="2" t="s">
        <v>31</v>
      </c>
      <c r="E15" s="3">
        <v>173</v>
      </c>
    </row>
    <row r="16" spans="1:5" ht="28.5" hidden="1">
      <c r="A16" s="2" t="s">
        <v>19</v>
      </c>
      <c r="B16" s="2" t="s">
        <v>20</v>
      </c>
      <c r="C16" s="2" t="s">
        <v>29</v>
      </c>
      <c r="D16" s="2" t="s">
        <v>32</v>
      </c>
      <c r="E16" s="3">
        <v>173</v>
      </c>
    </row>
    <row r="17" spans="1:5" hidden="1">
      <c r="A17" s="2" t="s">
        <v>19</v>
      </c>
      <c r="B17" s="2" t="s">
        <v>33</v>
      </c>
      <c r="C17" s="2" t="s">
        <v>29</v>
      </c>
      <c r="D17" s="2" t="s">
        <v>34</v>
      </c>
      <c r="E17" s="3">
        <v>174</v>
      </c>
    </row>
    <row r="18" spans="1:5" hidden="1">
      <c r="A18" s="2" t="s">
        <v>19</v>
      </c>
      <c r="B18" s="2" t="s">
        <v>33</v>
      </c>
      <c r="C18" s="2" t="s">
        <v>29</v>
      </c>
      <c r="D18" s="2" t="s">
        <v>35</v>
      </c>
      <c r="E18" s="3">
        <v>174</v>
      </c>
    </row>
    <row r="19" spans="1:5" ht="28.5">
      <c r="A19" s="2" t="s">
        <v>19</v>
      </c>
      <c r="B19" s="2" t="s">
        <v>36</v>
      </c>
      <c r="C19" s="2" t="s">
        <v>37</v>
      </c>
      <c r="D19" s="2" t="s">
        <v>38</v>
      </c>
      <c r="E19" s="3">
        <v>175</v>
      </c>
    </row>
    <row r="20" spans="1:5" ht="28.5">
      <c r="A20" s="2" t="s">
        <v>19</v>
      </c>
      <c r="B20" s="2" t="s">
        <v>36</v>
      </c>
      <c r="C20" s="2" t="s">
        <v>37</v>
      </c>
      <c r="D20" s="2" t="s">
        <v>39</v>
      </c>
      <c r="E20" s="3">
        <v>175</v>
      </c>
    </row>
    <row r="21" spans="1:5" ht="28.5">
      <c r="A21" s="2" t="s">
        <v>19</v>
      </c>
      <c r="B21" s="2" t="s">
        <v>36</v>
      </c>
      <c r="C21" s="2" t="s">
        <v>37</v>
      </c>
      <c r="D21" s="2" t="s">
        <v>40</v>
      </c>
      <c r="E21" s="3">
        <v>175</v>
      </c>
    </row>
    <row r="22" spans="1:5" ht="28.5">
      <c r="A22" s="2" t="s">
        <v>19</v>
      </c>
      <c r="B22" s="2" t="s">
        <v>36</v>
      </c>
      <c r="C22" s="2" t="s">
        <v>41</v>
      </c>
      <c r="D22" s="2" t="s">
        <v>42</v>
      </c>
      <c r="E22" s="3">
        <v>175</v>
      </c>
    </row>
    <row r="23" spans="1:5" ht="28.5">
      <c r="A23" s="2" t="s">
        <v>19</v>
      </c>
      <c r="B23" s="2" t="s">
        <v>36</v>
      </c>
      <c r="C23" s="2" t="s">
        <v>41</v>
      </c>
      <c r="D23" s="2" t="s">
        <v>43</v>
      </c>
      <c r="E23" s="3">
        <v>175</v>
      </c>
    </row>
    <row r="24" spans="1:5" ht="28.5">
      <c r="A24" s="2" t="s">
        <v>19</v>
      </c>
      <c r="B24" s="2" t="s">
        <v>36</v>
      </c>
      <c r="C24" s="2" t="s">
        <v>41</v>
      </c>
      <c r="D24" s="2" t="s">
        <v>44</v>
      </c>
      <c r="E24" s="3">
        <v>175</v>
      </c>
    </row>
    <row r="25" spans="1:5" ht="28.5">
      <c r="A25" s="2" t="s">
        <v>19</v>
      </c>
      <c r="B25" s="2" t="s">
        <v>36</v>
      </c>
      <c r="C25" s="2" t="s">
        <v>45</v>
      </c>
      <c r="D25" s="2" t="s">
        <v>46</v>
      </c>
      <c r="E25" s="3">
        <v>175</v>
      </c>
    </row>
    <row r="26" spans="1:5" ht="28.5">
      <c r="A26" s="2" t="s">
        <v>19</v>
      </c>
      <c r="B26" s="2" t="s">
        <v>36</v>
      </c>
      <c r="C26" s="2" t="s">
        <v>45</v>
      </c>
      <c r="D26" s="2" t="s">
        <v>47</v>
      </c>
      <c r="E26" s="3">
        <v>175</v>
      </c>
    </row>
    <row r="27" spans="1:5" ht="28.5">
      <c r="A27" s="2" t="s">
        <v>19</v>
      </c>
      <c r="B27" s="2" t="s">
        <v>36</v>
      </c>
      <c r="C27" s="2" t="s">
        <v>45</v>
      </c>
      <c r="D27" s="2" t="s">
        <v>48</v>
      </c>
      <c r="E27" s="3">
        <v>175</v>
      </c>
    </row>
    <row r="28" spans="1:5" ht="28.5">
      <c r="A28" s="2" t="s">
        <v>19</v>
      </c>
      <c r="B28" s="2" t="s">
        <v>36</v>
      </c>
      <c r="C28" s="2" t="s">
        <v>45</v>
      </c>
      <c r="D28" s="2" t="s">
        <v>49</v>
      </c>
      <c r="E28" s="3">
        <v>175</v>
      </c>
    </row>
    <row r="29" spans="1:5" ht="28.5">
      <c r="A29" s="2" t="s">
        <v>19</v>
      </c>
      <c r="B29" s="2" t="s">
        <v>36</v>
      </c>
      <c r="C29" s="2" t="s">
        <v>45</v>
      </c>
      <c r="D29" s="2" t="s">
        <v>50</v>
      </c>
      <c r="E29" s="3">
        <v>175</v>
      </c>
    </row>
    <row r="30" spans="1:5" ht="28.5">
      <c r="A30" s="2" t="s">
        <v>19</v>
      </c>
      <c r="B30" s="2" t="s">
        <v>36</v>
      </c>
      <c r="C30" s="2" t="s">
        <v>51</v>
      </c>
      <c r="D30" s="2" t="s">
        <v>52</v>
      </c>
      <c r="E30" s="3">
        <v>175</v>
      </c>
    </row>
    <row r="31" spans="1:5" ht="28.5">
      <c r="A31" s="2" t="s">
        <v>19</v>
      </c>
      <c r="B31" s="2" t="s">
        <v>36</v>
      </c>
      <c r="C31" s="2" t="s">
        <v>53</v>
      </c>
      <c r="D31" s="2" t="s">
        <v>54</v>
      </c>
      <c r="E31" s="3">
        <v>175</v>
      </c>
    </row>
    <row r="32" spans="1:5" ht="28.5">
      <c r="A32" s="2" t="s">
        <v>19</v>
      </c>
      <c r="B32" s="2" t="s">
        <v>36</v>
      </c>
      <c r="C32" s="2" t="s">
        <v>53</v>
      </c>
      <c r="D32" s="2" t="s">
        <v>55</v>
      </c>
      <c r="E32" s="3">
        <v>175</v>
      </c>
    </row>
    <row r="33" spans="1:5" ht="28.5">
      <c r="A33" s="2" t="s">
        <v>19</v>
      </c>
      <c r="B33" s="2" t="s">
        <v>36</v>
      </c>
      <c r="C33" s="2" t="s">
        <v>56</v>
      </c>
      <c r="D33" s="2" t="s">
        <v>57</v>
      </c>
      <c r="E33" s="3">
        <v>175</v>
      </c>
    </row>
    <row r="34" spans="1:5" ht="28.5">
      <c r="A34" s="2" t="s">
        <v>19</v>
      </c>
      <c r="B34" s="2" t="s">
        <v>36</v>
      </c>
      <c r="C34" s="2" t="s">
        <v>58</v>
      </c>
      <c r="D34" s="2" t="s">
        <v>59</v>
      </c>
      <c r="E34" s="3">
        <v>175</v>
      </c>
    </row>
    <row r="35" spans="1:5" ht="28.5">
      <c r="A35" s="2" t="s">
        <v>19</v>
      </c>
      <c r="B35" s="2" t="s">
        <v>36</v>
      </c>
      <c r="C35" s="2" t="s">
        <v>58</v>
      </c>
      <c r="D35" s="2" t="s">
        <v>60</v>
      </c>
      <c r="E35" s="3">
        <v>175</v>
      </c>
    </row>
    <row r="36" spans="1:5" ht="28.5">
      <c r="A36" s="2" t="s">
        <v>19</v>
      </c>
      <c r="B36" s="2" t="s">
        <v>36</v>
      </c>
      <c r="C36" s="2" t="s">
        <v>16</v>
      </c>
      <c r="D36" s="2" t="s">
        <v>61</v>
      </c>
      <c r="E36" s="3">
        <v>175</v>
      </c>
    </row>
    <row r="37" spans="1:5" ht="28.5">
      <c r="A37" s="2" t="s">
        <v>19</v>
      </c>
      <c r="B37" s="2" t="s">
        <v>36</v>
      </c>
      <c r="C37" s="2" t="s">
        <v>62</v>
      </c>
      <c r="D37" s="2" t="s">
        <v>63</v>
      </c>
      <c r="E37" s="3">
        <v>175</v>
      </c>
    </row>
    <row r="38" spans="1:5" ht="28.5">
      <c r="A38" s="2" t="s">
        <v>19</v>
      </c>
      <c r="B38" s="2" t="s">
        <v>36</v>
      </c>
      <c r="C38" s="2" t="s">
        <v>62</v>
      </c>
      <c r="D38" s="2" t="s">
        <v>64</v>
      </c>
      <c r="E38" s="3">
        <v>175</v>
      </c>
    </row>
    <row r="39" spans="1:5" ht="28.5">
      <c r="A39" s="2" t="s">
        <v>19</v>
      </c>
      <c r="B39" s="2" t="s">
        <v>36</v>
      </c>
      <c r="C39" s="2" t="s">
        <v>62</v>
      </c>
      <c r="D39" s="2" t="s">
        <v>65</v>
      </c>
      <c r="E39" s="3">
        <v>175</v>
      </c>
    </row>
    <row r="40" spans="1:5" ht="28.5" hidden="1">
      <c r="A40" s="2" t="s">
        <v>19</v>
      </c>
      <c r="B40" s="2" t="s">
        <v>66</v>
      </c>
      <c r="C40" s="2" t="s">
        <v>67</v>
      </c>
      <c r="D40" s="2" t="s">
        <v>68</v>
      </c>
      <c r="E40" s="3">
        <v>176</v>
      </c>
    </row>
    <row r="41" spans="1:5" ht="28.5" hidden="1">
      <c r="A41" s="2" t="s">
        <v>19</v>
      </c>
      <c r="B41" s="2" t="s">
        <v>66</v>
      </c>
      <c r="C41" s="2" t="s">
        <v>67</v>
      </c>
      <c r="D41" s="2" t="s">
        <v>69</v>
      </c>
      <c r="E41" s="3">
        <v>176</v>
      </c>
    </row>
    <row r="42" spans="1:5" ht="28.5" hidden="1">
      <c r="A42" s="2" t="s">
        <v>19</v>
      </c>
      <c r="B42" s="2" t="s">
        <v>66</v>
      </c>
      <c r="C42" s="2" t="s">
        <v>67</v>
      </c>
      <c r="D42" s="2" t="s">
        <v>70</v>
      </c>
      <c r="E42" s="3">
        <v>176</v>
      </c>
    </row>
    <row r="43" spans="1:5" ht="28.5" hidden="1">
      <c r="A43" s="2" t="s">
        <v>19</v>
      </c>
      <c r="B43" s="2" t="s">
        <v>66</v>
      </c>
      <c r="C43" s="2" t="s">
        <v>67</v>
      </c>
      <c r="D43" s="2" t="s">
        <v>71</v>
      </c>
      <c r="E43" s="3">
        <v>176</v>
      </c>
    </row>
    <row r="44" spans="1:5" ht="28.5" hidden="1">
      <c r="A44" s="2" t="s">
        <v>19</v>
      </c>
      <c r="B44" s="2" t="s">
        <v>66</v>
      </c>
      <c r="C44" s="2" t="s">
        <v>72</v>
      </c>
      <c r="D44" s="2" t="s">
        <v>72</v>
      </c>
      <c r="E44" s="3">
        <v>176</v>
      </c>
    </row>
    <row r="45" spans="1:5" ht="28.5" hidden="1">
      <c r="A45" s="2" t="s">
        <v>19</v>
      </c>
      <c r="B45" s="2" t="s">
        <v>66</v>
      </c>
      <c r="C45" s="2" t="s">
        <v>73</v>
      </c>
      <c r="D45" s="2" t="s">
        <v>74</v>
      </c>
      <c r="E45" s="3">
        <v>176</v>
      </c>
    </row>
    <row r="46" spans="1:5" ht="28.5" hidden="1">
      <c r="A46" s="2" t="s">
        <v>19</v>
      </c>
      <c r="B46" s="2" t="s">
        <v>66</v>
      </c>
      <c r="C46" s="2" t="s">
        <v>75</v>
      </c>
      <c r="D46" s="2" t="s">
        <v>76</v>
      </c>
      <c r="E46" s="3">
        <v>176</v>
      </c>
    </row>
    <row r="47" spans="1:5" ht="28.5" hidden="1">
      <c r="A47" s="2" t="s">
        <v>19</v>
      </c>
      <c r="B47" s="2" t="s">
        <v>66</v>
      </c>
      <c r="C47" s="2" t="s">
        <v>75</v>
      </c>
      <c r="D47" s="2" t="s">
        <v>77</v>
      </c>
      <c r="E47" s="3">
        <v>176</v>
      </c>
    </row>
    <row r="48" spans="1:5" ht="28.5" hidden="1">
      <c r="A48" s="2" t="s">
        <v>19</v>
      </c>
      <c r="B48" s="2" t="s">
        <v>66</v>
      </c>
      <c r="C48" s="2" t="s">
        <v>75</v>
      </c>
      <c r="D48" s="2" t="s">
        <v>78</v>
      </c>
      <c r="E48" s="3">
        <v>176</v>
      </c>
    </row>
    <row r="49" spans="1:5" ht="28.5" hidden="1">
      <c r="A49" s="2" t="s">
        <v>19</v>
      </c>
      <c r="B49" s="2" t="s">
        <v>66</v>
      </c>
      <c r="C49" s="2" t="s">
        <v>79</v>
      </c>
      <c r="D49" s="2" t="s">
        <v>80</v>
      </c>
      <c r="E49" s="3">
        <v>176</v>
      </c>
    </row>
    <row r="50" spans="1:5" ht="28.5" hidden="1">
      <c r="A50" s="2" t="s">
        <v>19</v>
      </c>
      <c r="B50" s="2" t="s">
        <v>66</v>
      </c>
      <c r="C50" s="2" t="s">
        <v>79</v>
      </c>
      <c r="D50" s="2" t="s">
        <v>81</v>
      </c>
      <c r="E50" s="3">
        <v>176</v>
      </c>
    </row>
    <row r="51" spans="1:5" ht="28.5" hidden="1">
      <c r="A51" s="2" t="s">
        <v>19</v>
      </c>
      <c r="B51" s="2" t="s">
        <v>66</v>
      </c>
      <c r="C51" s="2" t="s">
        <v>79</v>
      </c>
      <c r="D51" s="2" t="s">
        <v>82</v>
      </c>
      <c r="E51" s="3">
        <v>176</v>
      </c>
    </row>
    <row r="52" spans="1:5" ht="28.5" hidden="1">
      <c r="A52" s="2" t="s">
        <v>19</v>
      </c>
      <c r="B52" s="2" t="s">
        <v>66</v>
      </c>
      <c r="C52" s="2" t="s">
        <v>79</v>
      </c>
      <c r="D52" s="2" t="s">
        <v>83</v>
      </c>
      <c r="E52" s="3">
        <v>176</v>
      </c>
    </row>
    <row r="53" spans="1:5" ht="28.5" hidden="1">
      <c r="A53" s="2" t="s">
        <v>19</v>
      </c>
      <c r="B53" s="2" t="s">
        <v>84</v>
      </c>
      <c r="C53" s="2" t="s">
        <v>85</v>
      </c>
      <c r="D53" s="2" t="s">
        <v>86</v>
      </c>
      <c r="E53" s="3">
        <v>177</v>
      </c>
    </row>
    <row r="54" spans="1:5" ht="28.5" hidden="1">
      <c r="A54" s="2" t="s">
        <v>19</v>
      </c>
      <c r="B54" s="2" t="s">
        <v>84</v>
      </c>
      <c r="C54" s="2" t="s">
        <v>85</v>
      </c>
      <c r="D54" s="2" t="s">
        <v>87</v>
      </c>
      <c r="E54" s="3">
        <v>177</v>
      </c>
    </row>
    <row r="55" spans="1:5" ht="28.5" hidden="1">
      <c r="A55" s="2" t="s">
        <v>19</v>
      </c>
      <c r="B55" s="2" t="s">
        <v>84</v>
      </c>
      <c r="C55" s="2" t="s">
        <v>85</v>
      </c>
      <c r="D55" s="2" t="s">
        <v>88</v>
      </c>
      <c r="E55" s="3">
        <v>177</v>
      </c>
    </row>
    <row r="56" spans="1:5" ht="28.5" hidden="1">
      <c r="A56" s="2" t="s">
        <v>19</v>
      </c>
      <c r="B56" s="2" t="s">
        <v>84</v>
      </c>
      <c r="C56" s="2" t="s">
        <v>73</v>
      </c>
      <c r="D56" s="2" t="s">
        <v>89</v>
      </c>
      <c r="E56" s="3">
        <v>177</v>
      </c>
    </row>
    <row r="57" spans="1:5" ht="28.5" hidden="1">
      <c r="A57" s="2" t="s">
        <v>19</v>
      </c>
      <c r="B57" s="2" t="s">
        <v>84</v>
      </c>
      <c r="C57" s="2" t="s">
        <v>73</v>
      </c>
      <c r="D57" s="2" t="s">
        <v>90</v>
      </c>
      <c r="E57" s="3">
        <v>177</v>
      </c>
    </row>
    <row r="58" spans="1:5" ht="28.5" hidden="1">
      <c r="A58" s="2" t="s">
        <v>19</v>
      </c>
      <c r="B58" s="2" t="s">
        <v>84</v>
      </c>
      <c r="C58" s="2" t="s">
        <v>73</v>
      </c>
      <c r="D58" s="2" t="s">
        <v>91</v>
      </c>
      <c r="E58" s="3">
        <v>177</v>
      </c>
    </row>
    <row r="59" spans="1:5" hidden="1">
      <c r="A59" s="2" t="s">
        <v>19</v>
      </c>
      <c r="B59" s="2" t="s">
        <v>92</v>
      </c>
      <c r="C59" s="2" t="s">
        <v>93</v>
      </c>
      <c r="D59" s="2" t="s">
        <v>94</v>
      </c>
      <c r="E59" s="3">
        <v>178</v>
      </c>
    </row>
    <row r="60" spans="1:5" hidden="1">
      <c r="A60" s="2" t="s">
        <v>19</v>
      </c>
      <c r="B60" s="2" t="s">
        <v>92</v>
      </c>
      <c r="C60" s="2" t="s">
        <v>93</v>
      </c>
      <c r="D60" s="2" t="s">
        <v>95</v>
      </c>
      <c r="E60" s="3">
        <v>178</v>
      </c>
    </row>
    <row r="61" spans="1:5" hidden="1">
      <c r="A61" s="2" t="s">
        <v>19</v>
      </c>
      <c r="B61" s="2" t="s">
        <v>92</v>
      </c>
      <c r="C61" s="2" t="s">
        <v>93</v>
      </c>
      <c r="D61" s="2" t="s">
        <v>96</v>
      </c>
      <c r="E61" s="3">
        <v>178</v>
      </c>
    </row>
    <row r="62" spans="1:5" hidden="1">
      <c r="A62" s="2" t="s">
        <v>19</v>
      </c>
      <c r="B62" s="2" t="s">
        <v>92</v>
      </c>
      <c r="C62" s="2" t="s">
        <v>93</v>
      </c>
      <c r="D62" s="2" t="s">
        <v>97</v>
      </c>
      <c r="E62" s="3">
        <v>178</v>
      </c>
    </row>
    <row r="63" spans="1:5" hidden="1">
      <c r="A63" s="2" t="s">
        <v>19</v>
      </c>
      <c r="B63" s="2" t="s">
        <v>92</v>
      </c>
      <c r="C63" s="2" t="s">
        <v>93</v>
      </c>
      <c r="D63" s="2" t="s">
        <v>98</v>
      </c>
      <c r="E63" s="3">
        <v>178</v>
      </c>
    </row>
    <row r="64" spans="1:5" hidden="1">
      <c r="A64" s="2" t="s">
        <v>19</v>
      </c>
      <c r="B64" s="2" t="s">
        <v>92</v>
      </c>
      <c r="C64" s="2" t="s">
        <v>99</v>
      </c>
      <c r="D64" s="2" t="s">
        <v>100</v>
      </c>
      <c r="E64" s="3">
        <v>178</v>
      </c>
    </row>
    <row r="65" spans="1:5" hidden="1">
      <c r="A65" s="2" t="s">
        <v>19</v>
      </c>
      <c r="B65" s="2" t="s">
        <v>92</v>
      </c>
      <c r="C65" s="2" t="s">
        <v>99</v>
      </c>
      <c r="D65" s="2" t="s">
        <v>101</v>
      </c>
      <c r="E65" s="3">
        <v>178</v>
      </c>
    </row>
    <row r="66" spans="1:5" hidden="1">
      <c r="A66" s="2" t="s">
        <v>19</v>
      </c>
      <c r="B66" s="2" t="s">
        <v>92</v>
      </c>
      <c r="C66" s="2" t="s">
        <v>102</v>
      </c>
      <c r="D66" s="2" t="s">
        <v>103</v>
      </c>
      <c r="E66" s="3">
        <v>178</v>
      </c>
    </row>
    <row r="67" spans="1:5" hidden="1">
      <c r="A67" s="2" t="s">
        <v>19</v>
      </c>
      <c r="B67" s="2" t="s">
        <v>92</v>
      </c>
      <c r="C67" s="2" t="s">
        <v>102</v>
      </c>
      <c r="D67" s="2" t="s">
        <v>104</v>
      </c>
      <c r="E67" s="3">
        <v>178</v>
      </c>
    </row>
    <row r="68" spans="1:5" hidden="1">
      <c r="A68" s="2" t="s">
        <v>19</v>
      </c>
      <c r="B68" s="2" t="s">
        <v>92</v>
      </c>
      <c r="C68" s="2" t="s">
        <v>105</v>
      </c>
      <c r="D68" s="2" t="s">
        <v>106</v>
      </c>
      <c r="E68" s="3">
        <v>178</v>
      </c>
    </row>
    <row r="69" spans="1:5" hidden="1">
      <c r="A69" s="2" t="s">
        <v>19</v>
      </c>
      <c r="B69" s="2" t="s">
        <v>92</v>
      </c>
      <c r="C69" s="2" t="s">
        <v>105</v>
      </c>
      <c r="D69" s="2" t="s">
        <v>107</v>
      </c>
      <c r="E69" s="3">
        <v>178</v>
      </c>
    </row>
    <row r="70" spans="1:5" hidden="1">
      <c r="A70" s="2" t="s">
        <v>19</v>
      </c>
      <c r="B70" s="2" t="s">
        <v>92</v>
      </c>
      <c r="C70" s="2" t="s">
        <v>105</v>
      </c>
      <c r="D70" s="2" t="s">
        <v>108</v>
      </c>
      <c r="E70" s="3">
        <v>178</v>
      </c>
    </row>
    <row r="71" spans="1:5" hidden="1">
      <c r="A71" s="2" t="s">
        <v>19</v>
      </c>
      <c r="B71" s="2" t="s">
        <v>92</v>
      </c>
      <c r="C71" s="2" t="s">
        <v>105</v>
      </c>
      <c r="D71" s="2" t="s">
        <v>109</v>
      </c>
      <c r="E71" s="3">
        <v>178</v>
      </c>
    </row>
    <row r="72" spans="1:5" ht="28.5" hidden="1">
      <c r="A72" s="2" t="s">
        <v>19</v>
      </c>
      <c r="B72" s="2" t="s">
        <v>110</v>
      </c>
      <c r="C72" s="2" t="s">
        <v>111</v>
      </c>
      <c r="D72" s="2" t="s">
        <v>112</v>
      </c>
      <c r="E72" s="3">
        <v>179</v>
      </c>
    </row>
    <row r="73" spans="1:5" hidden="1">
      <c r="A73" s="2" t="s">
        <v>19</v>
      </c>
      <c r="B73" s="2" t="s">
        <v>110</v>
      </c>
      <c r="C73" s="2" t="s">
        <v>113</v>
      </c>
      <c r="D73" s="2" t="s">
        <v>114</v>
      </c>
      <c r="E73" s="3">
        <v>179</v>
      </c>
    </row>
    <row r="74" spans="1:5" hidden="1">
      <c r="A74" s="2" t="s">
        <v>19</v>
      </c>
      <c r="B74" s="2" t="s">
        <v>110</v>
      </c>
      <c r="C74" s="2" t="s">
        <v>113</v>
      </c>
      <c r="D74" s="2" t="s">
        <v>115</v>
      </c>
      <c r="E74" s="3">
        <v>179</v>
      </c>
    </row>
    <row r="75" spans="1:5" ht="28.5" hidden="1">
      <c r="A75" s="2" t="s">
        <v>19</v>
      </c>
      <c r="B75" s="2" t="s">
        <v>116</v>
      </c>
      <c r="C75" s="2" t="s">
        <v>117</v>
      </c>
      <c r="D75" s="2" t="s">
        <v>118</v>
      </c>
      <c r="E75" s="3">
        <v>180</v>
      </c>
    </row>
    <row r="76" spans="1:5" ht="28.5" hidden="1">
      <c r="A76" s="2" t="s">
        <v>19</v>
      </c>
      <c r="B76" s="2" t="s">
        <v>116</v>
      </c>
      <c r="C76" s="2" t="s">
        <v>117</v>
      </c>
      <c r="D76" s="2" t="s">
        <v>119</v>
      </c>
      <c r="E76" s="3">
        <v>180</v>
      </c>
    </row>
    <row r="77" spans="1:5" ht="28.5" hidden="1">
      <c r="A77" s="2" t="s">
        <v>19</v>
      </c>
      <c r="B77" s="2" t="s">
        <v>116</v>
      </c>
      <c r="C77" s="2" t="s">
        <v>117</v>
      </c>
      <c r="D77" s="2" t="s">
        <v>120</v>
      </c>
      <c r="E77" s="3">
        <v>180</v>
      </c>
    </row>
    <row r="78" spans="1:5" ht="28.5" hidden="1">
      <c r="A78" s="2" t="s">
        <v>19</v>
      </c>
      <c r="B78" s="2" t="s">
        <v>116</v>
      </c>
      <c r="C78" s="2" t="s">
        <v>121</v>
      </c>
      <c r="D78" s="2" t="s">
        <v>122</v>
      </c>
      <c r="E78" s="3">
        <v>180</v>
      </c>
    </row>
    <row r="79" spans="1:5" ht="28.5" hidden="1">
      <c r="A79" s="2" t="s">
        <v>19</v>
      </c>
      <c r="B79" s="2" t="s">
        <v>116</v>
      </c>
      <c r="C79" s="2" t="s">
        <v>121</v>
      </c>
      <c r="D79" s="2" t="s">
        <v>123</v>
      </c>
      <c r="E79" s="3">
        <v>180</v>
      </c>
    </row>
    <row r="80" spans="1:5" ht="28.5" hidden="1">
      <c r="A80" s="2" t="s">
        <v>19</v>
      </c>
      <c r="B80" s="2" t="s">
        <v>116</v>
      </c>
      <c r="C80" s="2" t="s">
        <v>124</v>
      </c>
      <c r="D80" s="2" t="s">
        <v>125</v>
      </c>
      <c r="E80" s="3">
        <v>180</v>
      </c>
    </row>
    <row r="81" spans="1:5" ht="28.5" hidden="1">
      <c r="A81" s="2" t="s">
        <v>19</v>
      </c>
      <c r="B81" s="2" t="s">
        <v>116</v>
      </c>
      <c r="C81" s="2" t="s">
        <v>126</v>
      </c>
      <c r="D81" s="2" t="s">
        <v>126</v>
      </c>
      <c r="E81" s="3">
        <v>180</v>
      </c>
    </row>
    <row r="82" spans="1:5" hidden="1">
      <c r="A82" s="2" t="s">
        <v>19</v>
      </c>
      <c r="B82" s="2" t="s">
        <v>127</v>
      </c>
      <c r="C82" s="2" t="s">
        <v>128</v>
      </c>
      <c r="D82" s="2" t="s">
        <v>129</v>
      </c>
      <c r="E82" s="3">
        <v>181</v>
      </c>
    </row>
    <row r="83" spans="1:5" hidden="1">
      <c r="A83" s="2" t="s">
        <v>19</v>
      </c>
      <c r="B83" s="2" t="s">
        <v>127</v>
      </c>
      <c r="C83" s="2" t="s">
        <v>128</v>
      </c>
      <c r="D83" s="2" t="s">
        <v>130</v>
      </c>
      <c r="E83" s="3">
        <v>181</v>
      </c>
    </row>
    <row r="84" spans="1:5" hidden="1">
      <c r="A84" s="2" t="s">
        <v>19</v>
      </c>
      <c r="B84" s="2" t="s">
        <v>127</v>
      </c>
      <c r="C84" s="2" t="s">
        <v>128</v>
      </c>
      <c r="D84" s="2" t="s">
        <v>131</v>
      </c>
      <c r="E84" s="3">
        <v>181</v>
      </c>
    </row>
    <row r="85" spans="1:5" hidden="1">
      <c r="A85" s="2" t="s">
        <v>19</v>
      </c>
      <c r="B85" s="2" t="s">
        <v>127</v>
      </c>
      <c r="C85" s="2" t="s">
        <v>128</v>
      </c>
      <c r="D85" s="2" t="s">
        <v>132</v>
      </c>
      <c r="E85" s="3">
        <v>181</v>
      </c>
    </row>
    <row r="86" spans="1:5" hidden="1">
      <c r="A86" s="2" t="s">
        <v>19</v>
      </c>
      <c r="B86" s="2" t="s">
        <v>127</v>
      </c>
      <c r="C86" s="2" t="s">
        <v>133</v>
      </c>
      <c r="D86" s="2" t="s">
        <v>134</v>
      </c>
      <c r="E86" s="3">
        <v>181</v>
      </c>
    </row>
    <row r="87" spans="1:5" hidden="1">
      <c r="A87" s="2" t="s">
        <v>19</v>
      </c>
      <c r="B87" s="2" t="s">
        <v>127</v>
      </c>
      <c r="C87" s="2" t="s">
        <v>133</v>
      </c>
      <c r="D87" s="2" t="s">
        <v>135</v>
      </c>
      <c r="E87" s="3">
        <v>181</v>
      </c>
    </row>
    <row r="88" spans="1:5" hidden="1">
      <c r="A88" s="2" t="s">
        <v>19</v>
      </c>
      <c r="B88" s="2" t="s">
        <v>127</v>
      </c>
      <c r="C88" s="2" t="s">
        <v>133</v>
      </c>
      <c r="D88" s="2" t="s">
        <v>136</v>
      </c>
      <c r="E88" s="3">
        <v>181</v>
      </c>
    </row>
    <row r="89" spans="1:5" hidden="1">
      <c r="A89" s="2" t="s">
        <v>19</v>
      </c>
      <c r="B89" s="2" t="s">
        <v>127</v>
      </c>
      <c r="C89" s="2" t="s">
        <v>133</v>
      </c>
      <c r="D89" s="2" t="s">
        <v>137</v>
      </c>
      <c r="E89" s="3">
        <v>181</v>
      </c>
    </row>
    <row r="90" spans="1:5" hidden="1">
      <c r="A90" s="2" t="s">
        <v>19</v>
      </c>
      <c r="B90" s="2" t="s">
        <v>127</v>
      </c>
      <c r="C90" s="2" t="s">
        <v>138</v>
      </c>
      <c r="D90" s="2" t="s">
        <v>139</v>
      </c>
      <c r="E90" s="3">
        <v>181</v>
      </c>
    </row>
    <row r="91" spans="1:5" hidden="1">
      <c r="A91" s="2" t="s">
        <v>19</v>
      </c>
      <c r="B91" s="2" t="s">
        <v>127</v>
      </c>
      <c r="C91" s="2" t="s">
        <v>138</v>
      </c>
      <c r="D91" s="2" t="s">
        <v>140</v>
      </c>
      <c r="E91" s="3">
        <v>181</v>
      </c>
    </row>
    <row r="92" spans="1:5" hidden="1">
      <c r="A92" s="2" t="s">
        <v>19</v>
      </c>
      <c r="B92" s="2" t="s">
        <v>127</v>
      </c>
      <c r="C92" s="2" t="s">
        <v>138</v>
      </c>
      <c r="D92" s="2" t="s">
        <v>141</v>
      </c>
      <c r="E92" s="3">
        <v>181</v>
      </c>
    </row>
    <row r="93" spans="1:5" ht="28.5" hidden="1">
      <c r="A93" s="2" t="s">
        <v>142</v>
      </c>
      <c r="B93" s="2" t="s">
        <v>143</v>
      </c>
      <c r="C93" s="2" t="s">
        <v>111</v>
      </c>
      <c r="D93" s="2" t="s">
        <v>144</v>
      </c>
      <c r="E93" s="3">
        <v>183</v>
      </c>
    </row>
    <row r="94" spans="1:5" hidden="1">
      <c r="A94" s="2" t="s">
        <v>142</v>
      </c>
      <c r="B94" s="2" t="s">
        <v>143</v>
      </c>
      <c r="C94" s="2" t="s">
        <v>145</v>
      </c>
      <c r="D94" s="2" t="s">
        <v>146</v>
      </c>
      <c r="E94" s="3">
        <v>183</v>
      </c>
    </row>
    <row r="95" spans="1:5" hidden="1">
      <c r="A95" s="2" t="s">
        <v>142</v>
      </c>
      <c r="B95" s="2" t="s">
        <v>143</v>
      </c>
      <c r="C95" s="2" t="s">
        <v>145</v>
      </c>
      <c r="D95" s="2" t="s">
        <v>147</v>
      </c>
      <c r="E95" s="3">
        <v>183</v>
      </c>
    </row>
    <row r="96" spans="1:5" hidden="1">
      <c r="A96" s="2" t="s">
        <v>142</v>
      </c>
      <c r="B96" s="2" t="s">
        <v>143</v>
      </c>
      <c r="C96" s="2" t="s">
        <v>145</v>
      </c>
      <c r="D96" s="2" t="s">
        <v>148</v>
      </c>
      <c r="E96" s="3">
        <v>183</v>
      </c>
    </row>
    <row r="97" spans="1:5" hidden="1">
      <c r="A97" s="2" t="s">
        <v>142</v>
      </c>
      <c r="B97" s="2" t="s">
        <v>143</v>
      </c>
      <c r="C97" s="2" t="s">
        <v>102</v>
      </c>
      <c r="D97" s="2" t="s">
        <v>149</v>
      </c>
      <c r="E97" s="3">
        <v>183</v>
      </c>
    </row>
    <row r="98" spans="1:5" hidden="1">
      <c r="A98" s="2" t="s">
        <v>142</v>
      </c>
      <c r="B98" s="2" t="s">
        <v>143</v>
      </c>
      <c r="C98" s="2" t="s">
        <v>150</v>
      </c>
      <c r="D98" s="2" t="s">
        <v>151</v>
      </c>
      <c r="E98" s="3">
        <v>183</v>
      </c>
    </row>
    <row r="99" spans="1:5" hidden="1">
      <c r="A99" s="2" t="s">
        <v>142</v>
      </c>
      <c r="B99" s="2" t="s">
        <v>143</v>
      </c>
      <c r="C99" s="2" t="s">
        <v>150</v>
      </c>
      <c r="D99" s="2" t="s">
        <v>152</v>
      </c>
      <c r="E99" s="3">
        <v>183</v>
      </c>
    </row>
    <row r="100" spans="1:5" hidden="1">
      <c r="A100" s="2" t="s">
        <v>142</v>
      </c>
      <c r="B100" s="2" t="s">
        <v>143</v>
      </c>
      <c r="C100" s="2" t="s">
        <v>150</v>
      </c>
      <c r="D100" s="2" t="s">
        <v>153</v>
      </c>
      <c r="E100" s="3">
        <v>183</v>
      </c>
    </row>
    <row r="101" spans="1:5" hidden="1">
      <c r="A101" s="2" t="s">
        <v>142</v>
      </c>
      <c r="B101" s="2" t="s">
        <v>143</v>
      </c>
      <c r="C101" s="2" t="s">
        <v>154</v>
      </c>
      <c r="D101" s="2" t="s">
        <v>155</v>
      </c>
      <c r="E101" s="3">
        <v>183</v>
      </c>
    </row>
    <row r="102" spans="1:5" hidden="1">
      <c r="A102" s="2" t="s">
        <v>142</v>
      </c>
      <c r="B102" s="2" t="s">
        <v>143</v>
      </c>
      <c r="C102" s="2" t="s">
        <v>154</v>
      </c>
      <c r="D102" s="2" t="s">
        <v>156</v>
      </c>
      <c r="E102" s="3">
        <v>183</v>
      </c>
    </row>
    <row r="103" spans="1:5" hidden="1">
      <c r="A103" s="2" t="s">
        <v>142</v>
      </c>
      <c r="B103" s="2" t="s">
        <v>143</v>
      </c>
      <c r="C103" s="2" t="s">
        <v>154</v>
      </c>
      <c r="D103" s="2" t="s">
        <v>157</v>
      </c>
      <c r="E103" s="3">
        <v>183</v>
      </c>
    </row>
    <row r="104" spans="1:5" hidden="1">
      <c r="A104" s="2" t="s">
        <v>142</v>
      </c>
      <c r="B104" s="2" t="s">
        <v>143</v>
      </c>
      <c r="C104" s="2" t="s">
        <v>154</v>
      </c>
      <c r="D104" s="2" t="s">
        <v>158</v>
      </c>
      <c r="E104" s="3">
        <v>183</v>
      </c>
    </row>
    <row r="105" spans="1:5" hidden="1">
      <c r="A105" s="2" t="s">
        <v>142</v>
      </c>
      <c r="B105" s="2" t="s">
        <v>143</v>
      </c>
      <c r="C105" s="2" t="s">
        <v>159</v>
      </c>
      <c r="D105" s="2" t="s">
        <v>160</v>
      </c>
      <c r="E105" s="3">
        <v>183</v>
      </c>
    </row>
    <row r="106" spans="1:5" hidden="1">
      <c r="A106" s="2" t="s">
        <v>142</v>
      </c>
      <c r="B106" s="2" t="s">
        <v>143</v>
      </c>
      <c r="C106" s="2" t="s">
        <v>159</v>
      </c>
      <c r="D106" s="2" t="s">
        <v>161</v>
      </c>
      <c r="E106" s="3">
        <v>183</v>
      </c>
    </row>
    <row r="107" spans="1:5" hidden="1">
      <c r="A107" s="2" t="s">
        <v>142</v>
      </c>
      <c r="B107" s="2" t="s">
        <v>143</v>
      </c>
      <c r="C107" s="2" t="s">
        <v>159</v>
      </c>
      <c r="D107" s="2" t="s">
        <v>162</v>
      </c>
      <c r="E107" s="3">
        <v>183</v>
      </c>
    </row>
    <row r="108" spans="1:5" hidden="1">
      <c r="A108" s="2" t="s">
        <v>142</v>
      </c>
      <c r="B108" s="2" t="s">
        <v>143</v>
      </c>
      <c r="C108" s="2" t="s">
        <v>163</v>
      </c>
      <c r="D108" s="2" t="s">
        <v>164</v>
      </c>
      <c r="E108" s="3">
        <v>183</v>
      </c>
    </row>
    <row r="109" spans="1:5" hidden="1">
      <c r="A109" s="2" t="s">
        <v>142</v>
      </c>
      <c r="B109" s="2" t="s">
        <v>143</v>
      </c>
      <c r="C109" s="2" t="s">
        <v>165</v>
      </c>
      <c r="D109" s="2" t="s">
        <v>166</v>
      </c>
      <c r="E109" s="3">
        <v>183</v>
      </c>
    </row>
    <row r="110" spans="1:5" ht="28.5" hidden="1">
      <c r="A110" s="2" t="s">
        <v>142</v>
      </c>
      <c r="B110" s="2" t="s">
        <v>143</v>
      </c>
      <c r="C110" s="2" t="s">
        <v>167</v>
      </c>
      <c r="D110" s="2" t="s">
        <v>168</v>
      </c>
      <c r="E110" s="3">
        <v>183</v>
      </c>
    </row>
    <row r="111" spans="1:5" ht="28.5" hidden="1">
      <c r="A111" s="2" t="s">
        <v>142</v>
      </c>
      <c r="B111" s="2" t="s">
        <v>143</v>
      </c>
      <c r="C111" s="2" t="s">
        <v>167</v>
      </c>
      <c r="D111" s="2" t="s">
        <v>169</v>
      </c>
      <c r="E111" s="3">
        <v>183</v>
      </c>
    </row>
    <row r="112" spans="1:5" ht="28.5" hidden="1">
      <c r="A112" s="2" t="s">
        <v>142</v>
      </c>
      <c r="B112" s="2" t="s">
        <v>143</v>
      </c>
      <c r="C112" s="2" t="s">
        <v>167</v>
      </c>
      <c r="D112" s="2" t="s">
        <v>170</v>
      </c>
      <c r="E112" s="3">
        <v>183</v>
      </c>
    </row>
    <row r="113" spans="1:5" ht="28.5" hidden="1">
      <c r="A113" s="2" t="s">
        <v>142</v>
      </c>
      <c r="B113" s="2" t="s">
        <v>143</v>
      </c>
      <c r="C113" s="2" t="s">
        <v>167</v>
      </c>
      <c r="D113" s="2" t="s">
        <v>171</v>
      </c>
      <c r="E113" s="3">
        <v>183</v>
      </c>
    </row>
    <row r="114" spans="1:5" ht="28.5" hidden="1">
      <c r="A114" s="2" t="s">
        <v>142</v>
      </c>
      <c r="B114" s="2" t="s">
        <v>143</v>
      </c>
      <c r="C114" s="2" t="s">
        <v>167</v>
      </c>
      <c r="D114" s="2" t="s">
        <v>172</v>
      </c>
      <c r="E114" s="3">
        <v>183</v>
      </c>
    </row>
    <row r="115" spans="1:5" hidden="1">
      <c r="A115" s="2" t="s">
        <v>142</v>
      </c>
      <c r="B115" s="2" t="s">
        <v>143</v>
      </c>
      <c r="C115" s="2" t="s">
        <v>173</v>
      </c>
      <c r="D115" s="2" t="s">
        <v>174</v>
      </c>
      <c r="E115" s="3">
        <v>183</v>
      </c>
    </row>
    <row r="116" spans="1:5" hidden="1">
      <c r="A116" s="2" t="s">
        <v>142</v>
      </c>
      <c r="B116" s="2" t="s">
        <v>143</v>
      </c>
      <c r="C116" s="2" t="s">
        <v>173</v>
      </c>
      <c r="D116" s="2" t="s">
        <v>175</v>
      </c>
      <c r="E116" s="3">
        <v>183</v>
      </c>
    </row>
    <row r="117" spans="1:5" hidden="1">
      <c r="A117" s="2" t="s">
        <v>142</v>
      </c>
      <c r="B117" s="2" t="s">
        <v>143</v>
      </c>
      <c r="C117" s="2" t="s">
        <v>173</v>
      </c>
      <c r="D117" s="2" t="s">
        <v>176</v>
      </c>
      <c r="E117" s="3">
        <v>183</v>
      </c>
    </row>
    <row r="118" spans="1:5" hidden="1">
      <c r="A118" s="2" t="s">
        <v>142</v>
      </c>
      <c r="B118" s="2" t="s">
        <v>143</v>
      </c>
      <c r="C118" s="2" t="s">
        <v>177</v>
      </c>
      <c r="D118" s="2" t="s">
        <v>178</v>
      </c>
      <c r="E118" s="3">
        <v>183</v>
      </c>
    </row>
    <row r="119" spans="1:5" hidden="1">
      <c r="A119" s="2" t="s">
        <v>142</v>
      </c>
      <c r="B119" s="2" t="s">
        <v>143</v>
      </c>
      <c r="C119" s="2" t="s">
        <v>179</v>
      </c>
      <c r="D119" s="2" t="s">
        <v>180</v>
      </c>
      <c r="E119" s="3">
        <v>183</v>
      </c>
    </row>
    <row r="120" spans="1:5" hidden="1">
      <c r="A120" s="2" t="s">
        <v>142</v>
      </c>
      <c r="B120" s="2" t="s">
        <v>143</v>
      </c>
      <c r="C120" s="2" t="s">
        <v>179</v>
      </c>
      <c r="D120" s="2" t="s">
        <v>181</v>
      </c>
      <c r="E120" s="3">
        <v>183</v>
      </c>
    </row>
    <row r="121" spans="1:5" hidden="1">
      <c r="A121" s="2" t="s">
        <v>182</v>
      </c>
      <c r="B121" s="2" t="s">
        <v>183</v>
      </c>
      <c r="C121" s="2" t="s">
        <v>184</v>
      </c>
      <c r="D121" s="2" t="s">
        <v>185</v>
      </c>
      <c r="E121" s="3">
        <v>185</v>
      </c>
    </row>
    <row r="122" spans="1:5" hidden="1">
      <c r="A122" s="2" t="s">
        <v>182</v>
      </c>
      <c r="B122" s="2" t="s">
        <v>183</v>
      </c>
      <c r="C122" s="2" t="s">
        <v>184</v>
      </c>
      <c r="D122" s="2" t="s">
        <v>186</v>
      </c>
      <c r="E122" s="3">
        <v>185</v>
      </c>
    </row>
    <row r="123" spans="1:5" hidden="1">
      <c r="A123" s="2" t="s">
        <v>182</v>
      </c>
      <c r="B123" s="2" t="s">
        <v>183</v>
      </c>
      <c r="C123" s="2" t="s">
        <v>184</v>
      </c>
      <c r="D123" s="2" t="s">
        <v>187</v>
      </c>
      <c r="E123" s="3">
        <v>185</v>
      </c>
    </row>
    <row r="124" spans="1:5" hidden="1">
      <c r="A124" s="2" t="s">
        <v>182</v>
      </c>
      <c r="B124" s="2" t="s">
        <v>188</v>
      </c>
      <c r="C124" s="2" t="s">
        <v>189</v>
      </c>
      <c r="D124" s="2" t="s">
        <v>190</v>
      </c>
      <c r="E124" s="3">
        <v>186</v>
      </c>
    </row>
    <row r="125" spans="1:5" hidden="1">
      <c r="A125" s="2" t="s">
        <v>182</v>
      </c>
      <c r="B125" s="2" t="s">
        <v>188</v>
      </c>
      <c r="C125" s="2" t="s">
        <v>189</v>
      </c>
      <c r="D125" s="2" t="s">
        <v>191</v>
      </c>
      <c r="E125" s="3">
        <v>186</v>
      </c>
    </row>
    <row r="126" spans="1:5" hidden="1">
      <c r="A126" s="2" t="s">
        <v>182</v>
      </c>
      <c r="B126" s="2" t="s">
        <v>188</v>
      </c>
      <c r="C126" s="2" t="s">
        <v>189</v>
      </c>
      <c r="D126" s="2" t="s">
        <v>192</v>
      </c>
      <c r="E126" s="3">
        <v>186</v>
      </c>
    </row>
    <row r="127" spans="1:5" hidden="1">
      <c r="A127" s="2" t="s">
        <v>182</v>
      </c>
      <c r="B127" s="2" t="s">
        <v>188</v>
      </c>
      <c r="C127" s="2" t="s">
        <v>189</v>
      </c>
      <c r="D127" s="2" t="s">
        <v>193</v>
      </c>
      <c r="E127" s="3">
        <v>186</v>
      </c>
    </row>
    <row r="128" spans="1:5" hidden="1">
      <c r="A128" s="2" t="s">
        <v>182</v>
      </c>
      <c r="B128" s="2" t="s">
        <v>188</v>
      </c>
      <c r="C128" s="2" t="s">
        <v>189</v>
      </c>
      <c r="D128" s="2" t="s">
        <v>194</v>
      </c>
      <c r="E128" s="3">
        <v>186</v>
      </c>
    </row>
    <row r="129" spans="1:5" hidden="1">
      <c r="A129" s="2" t="s">
        <v>182</v>
      </c>
      <c r="B129" s="2" t="s">
        <v>188</v>
      </c>
      <c r="C129" s="2" t="s">
        <v>195</v>
      </c>
      <c r="D129" s="2" t="s">
        <v>196</v>
      </c>
      <c r="E129" s="3">
        <v>186</v>
      </c>
    </row>
    <row r="130" spans="1:5" hidden="1">
      <c r="A130" s="2" t="s">
        <v>182</v>
      </c>
      <c r="B130" s="2" t="s">
        <v>188</v>
      </c>
      <c r="C130" s="2" t="s">
        <v>195</v>
      </c>
      <c r="D130" s="2" t="s">
        <v>197</v>
      </c>
      <c r="E130" s="3">
        <v>186</v>
      </c>
    </row>
    <row r="131" spans="1:5" hidden="1">
      <c r="A131" s="2" t="s">
        <v>182</v>
      </c>
      <c r="B131" s="2" t="s">
        <v>198</v>
      </c>
      <c r="C131" s="2" t="s">
        <v>199</v>
      </c>
      <c r="D131" s="2" t="s">
        <v>200</v>
      </c>
      <c r="E131" s="3">
        <v>187</v>
      </c>
    </row>
    <row r="132" spans="1:5" hidden="1">
      <c r="A132" s="2" t="s">
        <v>182</v>
      </c>
      <c r="B132" s="2" t="s">
        <v>198</v>
      </c>
      <c r="C132" s="2" t="s">
        <v>199</v>
      </c>
      <c r="D132" s="2" t="s">
        <v>201</v>
      </c>
      <c r="E132" s="3">
        <v>187</v>
      </c>
    </row>
    <row r="133" spans="1:5" hidden="1">
      <c r="A133" s="2" t="s">
        <v>182</v>
      </c>
      <c r="B133" s="2" t="s">
        <v>198</v>
      </c>
      <c r="C133" s="2" t="s">
        <v>199</v>
      </c>
      <c r="D133" s="2" t="s">
        <v>202</v>
      </c>
      <c r="E133" s="3">
        <v>187</v>
      </c>
    </row>
    <row r="134" spans="1:5" hidden="1">
      <c r="A134" s="2" t="s">
        <v>182</v>
      </c>
      <c r="B134" s="2" t="s">
        <v>203</v>
      </c>
      <c r="C134" s="2" t="s">
        <v>199</v>
      </c>
      <c r="D134" s="2" t="s">
        <v>200</v>
      </c>
      <c r="E134" s="3">
        <v>188</v>
      </c>
    </row>
    <row r="135" spans="1:5" hidden="1">
      <c r="A135" s="2" t="s">
        <v>182</v>
      </c>
      <c r="B135" s="2" t="s">
        <v>203</v>
      </c>
      <c r="C135" s="2" t="s">
        <v>199</v>
      </c>
      <c r="D135" s="2" t="s">
        <v>202</v>
      </c>
      <c r="E135" s="3">
        <v>188</v>
      </c>
    </row>
    <row r="136" spans="1:5" hidden="1">
      <c r="A136" s="2" t="s">
        <v>182</v>
      </c>
      <c r="B136" s="2" t="s">
        <v>204</v>
      </c>
      <c r="C136" s="2" t="s">
        <v>205</v>
      </c>
      <c r="D136" s="2" t="s">
        <v>206</v>
      </c>
      <c r="E136" s="3">
        <v>189</v>
      </c>
    </row>
    <row r="137" spans="1:5" hidden="1">
      <c r="A137" s="2" t="s">
        <v>182</v>
      </c>
      <c r="B137" s="2" t="s">
        <v>204</v>
      </c>
      <c r="C137" s="2" t="s">
        <v>205</v>
      </c>
      <c r="D137" s="2" t="s">
        <v>207</v>
      </c>
      <c r="E137" s="3">
        <v>189</v>
      </c>
    </row>
    <row r="138" spans="1:5" hidden="1">
      <c r="A138" s="2" t="s">
        <v>182</v>
      </c>
      <c r="B138" s="2" t="s">
        <v>204</v>
      </c>
      <c r="C138" s="2" t="s">
        <v>205</v>
      </c>
      <c r="D138" s="2" t="s">
        <v>208</v>
      </c>
      <c r="E138" s="3">
        <v>189</v>
      </c>
    </row>
    <row r="139" spans="1:5" hidden="1">
      <c r="A139" s="2" t="s">
        <v>182</v>
      </c>
      <c r="B139" s="2" t="s">
        <v>209</v>
      </c>
      <c r="C139" s="2" t="s">
        <v>210</v>
      </c>
      <c r="D139" s="2" t="s">
        <v>211</v>
      </c>
      <c r="E139" s="3">
        <v>190</v>
      </c>
    </row>
    <row r="140" spans="1:5" hidden="1">
      <c r="A140" s="2" t="s">
        <v>182</v>
      </c>
      <c r="B140" s="2" t="s">
        <v>209</v>
      </c>
      <c r="C140" s="2" t="s">
        <v>210</v>
      </c>
      <c r="D140" s="2" t="s">
        <v>212</v>
      </c>
      <c r="E140" s="3">
        <v>190</v>
      </c>
    </row>
    <row r="141" spans="1:5" hidden="1">
      <c r="A141" s="2" t="s">
        <v>182</v>
      </c>
      <c r="B141" s="2" t="s">
        <v>209</v>
      </c>
      <c r="C141" s="2" t="s">
        <v>210</v>
      </c>
      <c r="D141" s="2" t="s">
        <v>213</v>
      </c>
      <c r="E141" s="3">
        <v>190</v>
      </c>
    </row>
    <row r="142" spans="1:5" hidden="1">
      <c r="A142" s="2" t="s">
        <v>182</v>
      </c>
      <c r="B142" s="2" t="s">
        <v>209</v>
      </c>
      <c r="C142" s="2" t="s">
        <v>210</v>
      </c>
      <c r="D142" s="2" t="s">
        <v>214</v>
      </c>
      <c r="E142" s="3">
        <v>190</v>
      </c>
    </row>
    <row r="143" spans="1:5" hidden="1">
      <c r="A143" s="2" t="s">
        <v>182</v>
      </c>
      <c r="B143" s="2" t="s">
        <v>209</v>
      </c>
      <c r="C143" s="2" t="s">
        <v>210</v>
      </c>
      <c r="D143" s="2" t="s">
        <v>215</v>
      </c>
      <c r="E143" s="3">
        <v>190</v>
      </c>
    </row>
    <row r="144" spans="1:5" hidden="1">
      <c r="A144" s="2" t="s">
        <v>182</v>
      </c>
      <c r="B144" s="2" t="s">
        <v>216</v>
      </c>
      <c r="C144" s="2" t="s">
        <v>217</v>
      </c>
      <c r="D144" s="2" t="s">
        <v>218</v>
      </c>
      <c r="E144" s="3">
        <v>191</v>
      </c>
    </row>
    <row r="145" spans="1:5" hidden="1">
      <c r="A145" s="2" t="s">
        <v>182</v>
      </c>
      <c r="B145" s="2" t="s">
        <v>216</v>
      </c>
      <c r="C145" s="2" t="s">
        <v>217</v>
      </c>
      <c r="D145" s="2" t="s">
        <v>219</v>
      </c>
      <c r="E145" s="3">
        <v>191</v>
      </c>
    </row>
    <row r="146" spans="1:5" hidden="1">
      <c r="A146" s="2" t="s">
        <v>182</v>
      </c>
      <c r="B146" s="2" t="s">
        <v>216</v>
      </c>
      <c r="C146" s="2" t="s">
        <v>217</v>
      </c>
      <c r="D146" s="2" t="s">
        <v>220</v>
      </c>
      <c r="E146" s="3">
        <v>191</v>
      </c>
    </row>
    <row r="147" spans="1:5" hidden="1">
      <c r="A147" s="2" t="s">
        <v>182</v>
      </c>
      <c r="B147" s="2" t="s">
        <v>216</v>
      </c>
      <c r="C147" s="2" t="s">
        <v>217</v>
      </c>
      <c r="D147" s="2" t="s">
        <v>221</v>
      </c>
      <c r="E147" s="3">
        <v>191</v>
      </c>
    </row>
    <row r="148" spans="1:5" hidden="1">
      <c r="A148" s="2" t="s">
        <v>182</v>
      </c>
      <c r="B148" s="2" t="s">
        <v>216</v>
      </c>
      <c r="C148" s="2" t="s">
        <v>217</v>
      </c>
      <c r="D148" s="2" t="s">
        <v>222</v>
      </c>
      <c r="E148" s="3">
        <v>191</v>
      </c>
    </row>
    <row r="149" spans="1:5" hidden="1">
      <c r="A149" s="2" t="s">
        <v>182</v>
      </c>
      <c r="B149" s="2" t="s">
        <v>216</v>
      </c>
      <c r="C149" s="2" t="s">
        <v>223</v>
      </c>
      <c r="D149" s="2" t="s">
        <v>224</v>
      </c>
      <c r="E149" s="3">
        <v>191</v>
      </c>
    </row>
    <row r="150" spans="1:5" hidden="1">
      <c r="A150" s="2" t="s">
        <v>182</v>
      </c>
      <c r="B150" s="2" t="s">
        <v>216</v>
      </c>
      <c r="C150" s="2" t="s">
        <v>223</v>
      </c>
      <c r="D150" s="2" t="s">
        <v>225</v>
      </c>
      <c r="E150" s="3">
        <v>191</v>
      </c>
    </row>
    <row r="151" spans="1:5" hidden="1">
      <c r="A151" s="2" t="s">
        <v>182</v>
      </c>
      <c r="B151" s="2" t="s">
        <v>216</v>
      </c>
      <c r="C151" s="2" t="s">
        <v>223</v>
      </c>
      <c r="D151" s="2" t="s">
        <v>226</v>
      </c>
      <c r="E151" s="3">
        <v>191</v>
      </c>
    </row>
    <row r="152" spans="1:5" hidden="1">
      <c r="A152" s="2" t="s">
        <v>182</v>
      </c>
      <c r="B152" s="2" t="s">
        <v>216</v>
      </c>
      <c r="C152" s="2" t="s">
        <v>223</v>
      </c>
      <c r="D152" s="2" t="s">
        <v>227</v>
      </c>
      <c r="E152" s="3">
        <v>191</v>
      </c>
    </row>
    <row r="153" spans="1:5" hidden="1">
      <c r="A153" s="2" t="s">
        <v>182</v>
      </c>
      <c r="B153" s="2" t="s">
        <v>228</v>
      </c>
      <c r="C153" s="2" t="s">
        <v>229</v>
      </c>
      <c r="D153" s="2" t="s">
        <v>230</v>
      </c>
      <c r="E153" s="3">
        <v>192</v>
      </c>
    </row>
    <row r="154" spans="1:5" hidden="1">
      <c r="A154" s="2" t="s">
        <v>182</v>
      </c>
      <c r="B154" s="2" t="s">
        <v>228</v>
      </c>
      <c r="C154" s="2" t="s">
        <v>229</v>
      </c>
      <c r="D154" s="2" t="s">
        <v>231</v>
      </c>
      <c r="E154" s="3">
        <v>192</v>
      </c>
    </row>
    <row r="155" spans="1:5" hidden="1">
      <c r="A155" s="2" t="s">
        <v>182</v>
      </c>
      <c r="B155" s="2" t="s">
        <v>228</v>
      </c>
      <c r="C155" s="2" t="s">
        <v>229</v>
      </c>
      <c r="D155" s="2" t="s">
        <v>232</v>
      </c>
      <c r="E155" s="3">
        <v>192</v>
      </c>
    </row>
    <row r="156" spans="1:5" hidden="1">
      <c r="A156" s="2" t="s">
        <v>182</v>
      </c>
      <c r="B156" s="2" t="s">
        <v>228</v>
      </c>
      <c r="C156" s="2" t="s">
        <v>229</v>
      </c>
      <c r="D156" s="2" t="s">
        <v>233</v>
      </c>
      <c r="E156" s="3">
        <v>192</v>
      </c>
    </row>
    <row r="157" spans="1:5" hidden="1">
      <c r="A157" s="2" t="s">
        <v>182</v>
      </c>
      <c r="B157" s="2" t="s">
        <v>228</v>
      </c>
      <c r="C157" s="2" t="s">
        <v>229</v>
      </c>
      <c r="D157" s="2" t="s">
        <v>234</v>
      </c>
      <c r="E157" s="3">
        <v>192</v>
      </c>
    </row>
    <row r="158" spans="1:5" hidden="1">
      <c r="A158" s="2" t="s">
        <v>182</v>
      </c>
      <c r="B158" s="2" t="s">
        <v>228</v>
      </c>
      <c r="C158" s="2" t="s">
        <v>229</v>
      </c>
      <c r="D158" s="2" t="s">
        <v>235</v>
      </c>
      <c r="E158" s="3">
        <v>192</v>
      </c>
    </row>
    <row r="159" spans="1:5" hidden="1">
      <c r="A159" s="2" t="s">
        <v>182</v>
      </c>
      <c r="B159" s="2" t="s">
        <v>236</v>
      </c>
      <c r="C159" s="2" t="s">
        <v>237</v>
      </c>
      <c r="D159" s="2" t="s">
        <v>238</v>
      </c>
      <c r="E159" s="3">
        <v>193</v>
      </c>
    </row>
    <row r="160" spans="1:5" hidden="1">
      <c r="A160" s="2" t="s">
        <v>182</v>
      </c>
      <c r="B160" s="2" t="s">
        <v>236</v>
      </c>
      <c r="C160" s="2" t="s">
        <v>23</v>
      </c>
      <c r="D160" s="2" t="s">
        <v>239</v>
      </c>
      <c r="E160" s="3">
        <v>193</v>
      </c>
    </row>
    <row r="161" spans="1:5" hidden="1">
      <c r="A161" s="2" t="s">
        <v>182</v>
      </c>
      <c r="B161" s="2" t="s">
        <v>236</v>
      </c>
      <c r="C161" s="2" t="s">
        <v>23</v>
      </c>
      <c r="D161" s="2" t="s">
        <v>240</v>
      </c>
      <c r="E161" s="3">
        <v>193</v>
      </c>
    </row>
    <row r="162" spans="1:5" hidden="1">
      <c r="A162" s="2" t="s">
        <v>182</v>
      </c>
      <c r="B162" s="2" t="s">
        <v>236</v>
      </c>
      <c r="C162" s="2" t="s">
        <v>23</v>
      </c>
      <c r="D162" s="2" t="s">
        <v>241</v>
      </c>
      <c r="E162" s="3">
        <v>193</v>
      </c>
    </row>
    <row r="163" spans="1:5" ht="28.5" hidden="1">
      <c r="A163" s="2" t="s">
        <v>182</v>
      </c>
      <c r="B163" s="2" t="s">
        <v>242</v>
      </c>
      <c r="C163" s="2" t="s">
        <v>243</v>
      </c>
      <c r="D163" s="2" t="s">
        <v>244</v>
      </c>
      <c r="E163" s="3">
        <v>194</v>
      </c>
    </row>
    <row r="164" spans="1:5" ht="28.5" hidden="1">
      <c r="A164" s="2" t="s">
        <v>182</v>
      </c>
      <c r="B164" s="2" t="s">
        <v>242</v>
      </c>
      <c r="C164" s="2" t="s">
        <v>243</v>
      </c>
      <c r="D164" s="2" t="s">
        <v>245</v>
      </c>
      <c r="E164" s="3">
        <v>194</v>
      </c>
    </row>
    <row r="165" spans="1:5" hidden="1">
      <c r="A165" s="2" t="s">
        <v>182</v>
      </c>
      <c r="B165" s="2" t="s">
        <v>242</v>
      </c>
      <c r="C165" s="2" t="s">
        <v>243</v>
      </c>
      <c r="D165" s="2" t="s">
        <v>246</v>
      </c>
      <c r="E165" s="3">
        <v>194</v>
      </c>
    </row>
    <row r="166" spans="1:5" hidden="1">
      <c r="A166" s="2" t="s">
        <v>182</v>
      </c>
      <c r="B166" s="2" t="s">
        <v>242</v>
      </c>
      <c r="C166" s="2" t="s">
        <v>243</v>
      </c>
      <c r="D166" s="2" t="s">
        <v>247</v>
      </c>
      <c r="E166" s="3">
        <v>194</v>
      </c>
    </row>
    <row r="167" spans="1:5" hidden="1">
      <c r="A167" s="2" t="s">
        <v>182</v>
      </c>
      <c r="B167" s="2" t="s">
        <v>242</v>
      </c>
      <c r="C167" s="2" t="s">
        <v>243</v>
      </c>
      <c r="D167" s="2" t="s">
        <v>248</v>
      </c>
      <c r="E167" s="3">
        <v>194</v>
      </c>
    </row>
    <row r="168" spans="1:5" hidden="1">
      <c r="A168" s="2" t="s">
        <v>182</v>
      </c>
      <c r="B168" s="2" t="s">
        <v>242</v>
      </c>
      <c r="C168" s="2" t="s">
        <v>249</v>
      </c>
      <c r="D168" s="2" t="s">
        <v>250</v>
      </c>
      <c r="E168" s="3">
        <v>194</v>
      </c>
    </row>
    <row r="169" spans="1:5" hidden="1">
      <c r="A169" s="2" t="s">
        <v>182</v>
      </c>
      <c r="B169" s="2" t="s">
        <v>242</v>
      </c>
      <c r="C169" s="2" t="s">
        <v>249</v>
      </c>
      <c r="D169" s="2" t="s">
        <v>251</v>
      </c>
      <c r="E169" s="3">
        <v>194</v>
      </c>
    </row>
    <row r="170" spans="1:5" hidden="1">
      <c r="A170" s="2" t="s">
        <v>182</v>
      </c>
      <c r="B170" s="2" t="s">
        <v>242</v>
      </c>
      <c r="C170" s="2" t="s">
        <v>249</v>
      </c>
      <c r="D170" s="2" t="s">
        <v>252</v>
      </c>
      <c r="E170" s="3">
        <v>194</v>
      </c>
    </row>
    <row r="171" spans="1:5" hidden="1">
      <c r="A171" s="2" t="s">
        <v>182</v>
      </c>
      <c r="B171" s="2" t="s">
        <v>242</v>
      </c>
      <c r="C171" s="2" t="s">
        <v>249</v>
      </c>
      <c r="D171" s="2" t="s">
        <v>253</v>
      </c>
      <c r="E171" s="3">
        <v>194</v>
      </c>
    </row>
    <row r="172" spans="1:5" hidden="1">
      <c r="A172" s="2" t="s">
        <v>182</v>
      </c>
      <c r="B172" s="2" t="s">
        <v>242</v>
      </c>
      <c r="C172" s="2" t="s">
        <v>249</v>
      </c>
      <c r="D172" s="2" t="s">
        <v>254</v>
      </c>
      <c r="E172" s="3">
        <v>194</v>
      </c>
    </row>
    <row r="173" spans="1:5" hidden="1">
      <c r="A173" s="2" t="s">
        <v>182</v>
      </c>
      <c r="B173" s="2" t="s">
        <v>242</v>
      </c>
      <c r="C173" s="2" t="s">
        <v>249</v>
      </c>
      <c r="D173" s="2" t="s">
        <v>255</v>
      </c>
      <c r="E173" s="3">
        <v>194</v>
      </c>
    </row>
    <row r="174" spans="1:5" hidden="1">
      <c r="A174" s="2" t="s">
        <v>182</v>
      </c>
      <c r="B174" s="2" t="s">
        <v>242</v>
      </c>
      <c r="C174" s="2" t="s">
        <v>249</v>
      </c>
      <c r="D174" s="2" t="s">
        <v>256</v>
      </c>
      <c r="E174" s="3">
        <v>194</v>
      </c>
    </row>
    <row r="175" spans="1:5" ht="28.5" hidden="1">
      <c r="A175" s="2" t="s">
        <v>182</v>
      </c>
      <c r="B175" s="2" t="s">
        <v>257</v>
      </c>
      <c r="C175" s="2" t="s">
        <v>258</v>
      </c>
      <c r="D175" s="2" t="s">
        <v>259</v>
      </c>
      <c r="E175" s="3">
        <v>195</v>
      </c>
    </row>
    <row r="176" spans="1:5" ht="28.5" hidden="1">
      <c r="A176" s="2" t="s">
        <v>182</v>
      </c>
      <c r="B176" s="2" t="s">
        <v>257</v>
      </c>
      <c r="C176" s="2" t="s">
        <v>258</v>
      </c>
      <c r="D176" s="2" t="s">
        <v>260</v>
      </c>
      <c r="E176" s="3">
        <v>195</v>
      </c>
    </row>
    <row r="177" spans="1:5" ht="28.5" hidden="1">
      <c r="A177" s="2" t="s">
        <v>182</v>
      </c>
      <c r="B177" s="2" t="s">
        <v>257</v>
      </c>
      <c r="C177" s="2" t="s">
        <v>258</v>
      </c>
      <c r="D177" s="2" t="s">
        <v>261</v>
      </c>
      <c r="E177" s="3">
        <v>195</v>
      </c>
    </row>
    <row r="178" spans="1:5" ht="28.5" hidden="1">
      <c r="A178" s="2" t="s">
        <v>182</v>
      </c>
      <c r="B178" s="2" t="s">
        <v>257</v>
      </c>
      <c r="C178" s="2" t="s">
        <v>262</v>
      </c>
      <c r="D178" s="2" t="s">
        <v>263</v>
      </c>
      <c r="E178" s="3">
        <v>195</v>
      </c>
    </row>
    <row r="179" spans="1:5" hidden="1">
      <c r="A179" s="2" t="s">
        <v>182</v>
      </c>
      <c r="B179" s="2" t="s">
        <v>264</v>
      </c>
      <c r="C179" s="2" t="s">
        <v>258</v>
      </c>
      <c r="D179" s="2" t="s">
        <v>265</v>
      </c>
      <c r="E179" s="3">
        <v>196</v>
      </c>
    </row>
    <row r="180" spans="1:5" hidden="1">
      <c r="A180" s="2" t="s">
        <v>182</v>
      </c>
      <c r="B180" s="2" t="s">
        <v>264</v>
      </c>
      <c r="C180" s="2" t="s">
        <v>258</v>
      </c>
      <c r="D180" s="2" t="s">
        <v>266</v>
      </c>
      <c r="E180" s="3">
        <v>196</v>
      </c>
    </row>
    <row r="181" spans="1:5" hidden="1">
      <c r="A181" s="2" t="s">
        <v>182</v>
      </c>
      <c r="B181" s="2" t="s">
        <v>264</v>
      </c>
      <c r="C181" s="2" t="s">
        <v>258</v>
      </c>
      <c r="D181" s="2" t="s">
        <v>267</v>
      </c>
      <c r="E181" s="3">
        <v>196</v>
      </c>
    </row>
    <row r="182" spans="1:5" hidden="1">
      <c r="A182" s="2" t="s">
        <v>182</v>
      </c>
      <c r="B182" s="2" t="s">
        <v>264</v>
      </c>
      <c r="C182" s="2" t="s">
        <v>258</v>
      </c>
      <c r="D182" s="2" t="s">
        <v>268</v>
      </c>
      <c r="E182" s="3">
        <v>196</v>
      </c>
    </row>
    <row r="183" spans="1:5" hidden="1">
      <c r="A183" s="2" t="s">
        <v>182</v>
      </c>
      <c r="B183" s="2" t="s">
        <v>264</v>
      </c>
      <c r="C183" s="2" t="s">
        <v>269</v>
      </c>
      <c r="D183" s="2" t="s">
        <v>270</v>
      </c>
      <c r="E183" s="3">
        <v>196</v>
      </c>
    </row>
    <row r="184" spans="1:5" hidden="1">
      <c r="A184" s="2" t="s">
        <v>182</v>
      </c>
      <c r="B184" s="2" t="s">
        <v>264</v>
      </c>
      <c r="C184" s="2" t="s">
        <v>269</v>
      </c>
      <c r="D184" s="2" t="s">
        <v>271</v>
      </c>
      <c r="E184" s="3">
        <v>196</v>
      </c>
    </row>
    <row r="185" spans="1:5" hidden="1">
      <c r="A185" s="2" t="s">
        <v>182</v>
      </c>
      <c r="B185" s="2" t="s">
        <v>272</v>
      </c>
      <c r="C185" s="2" t="s">
        <v>273</v>
      </c>
      <c r="D185" s="2" t="s">
        <v>274</v>
      </c>
      <c r="E185" s="3">
        <v>197</v>
      </c>
    </row>
    <row r="186" spans="1:5" hidden="1">
      <c r="A186" s="2" t="s">
        <v>182</v>
      </c>
      <c r="B186" s="2" t="s">
        <v>272</v>
      </c>
      <c r="C186" s="2" t="s">
        <v>273</v>
      </c>
      <c r="D186" s="2" t="s">
        <v>275</v>
      </c>
      <c r="E186" s="3">
        <v>197</v>
      </c>
    </row>
    <row r="187" spans="1:5" hidden="1">
      <c r="A187" s="2" t="s">
        <v>182</v>
      </c>
      <c r="B187" s="2" t="s">
        <v>272</v>
      </c>
      <c r="C187" s="2" t="s">
        <v>273</v>
      </c>
      <c r="D187" s="2" t="s">
        <v>276</v>
      </c>
      <c r="E187" s="3">
        <v>197</v>
      </c>
    </row>
    <row r="188" spans="1:5" hidden="1">
      <c r="A188" s="2" t="s">
        <v>182</v>
      </c>
      <c r="B188" s="2" t="s">
        <v>272</v>
      </c>
      <c r="C188" s="2" t="s">
        <v>273</v>
      </c>
      <c r="D188" s="2" t="s">
        <v>277</v>
      </c>
      <c r="E188" s="3">
        <v>197</v>
      </c>
    </row>
    <row r="189" spans="1:5" hidden="1">
      <c r="A189" s="2" t="s">
        <v>182</v>
      </c>
      <c r="B189" s="2" t="s">
        <v>272</v>
      </c>
      <c r="C189" s="2" t="s">
        <v>273</v>
      </c>
      <c r="D189" s="2" t="s">
        <v>278</v>
      </c>
      <c r="E189" s="3">
        <v>197</v>
      </c>
    </row>
    <row r="190" spans="1:5" hidden="1">
      <c r="A190" s="2" t="s">
        <v>182</v>
      </c>
      <c r="B190" s="2" t="s">
        <v>272</v>
      </c>
      <c r="C190" s="2" t="s">
        <v>273</v>
      </c>
      <c r="D190" s="2" t="s">
        <v>279</v>
      </c>
      <c r="E190" s="3">
        <v>197</v>
      </c>
    </row>
    <row r="191" spans="1:5" hidden="1">
      <c r="A191" s="2" t="s">
        <v>182</v>
      </c>
      <c r="B191" s="2" t="s">
        <v>272</v>
      </c>
      <c r="C191" s="2" t="s">
        <v>273</v>
      </c>
      <c r="D191" s="2" t="s">
        <v>280</v>
      </c>
      <c r="E191" s="3">
        <v>197</v>
      </c>
    </row>
    <row r="192" spans="1:5" hidden="1">
      <c r="A192" s="2" t="s">
        <v>182</v>
      </c>
      <c r="B192" s="2" t="s">
        <v>272</v>
      </c>
      <c r="C192" s="2" t="s">
        <v>273</v>
      </c>
      <c r="D192" s="2" t="s">
        <v>281</v>
      </c>
      <c r="E192" s="3">
        <v>197</v>
      </c>
    </row>
    <row r="193" spans="1:5" hidden="1">
      <c r="A193" s="2" t="s">
        <v>182</v>
      </c>
      <c r="B193" s="2" t="s">
        <v>282</v>
      </c>
      <c r="C193" s="2" t="s">
        <v>283</v>
      </c>
      <c r="D193" s="2" t="s">
        <v>284</v>
      </c>
      <c r="E193" s="3">
        <v>198</v>
      </c>
    </row>
    <row r="194" spans="1:5" hidden="1">
      <c r="A194" s="2" t="s">
        <v>182</v>
      </c>
      <c r="B194" s="2" t="s">
        <v>282</v>
      </c>
      <c r="C194" s="2" t="s">
        <v>283</v>
      </c>
      <c r="D194" s="2" t="s">
        <v>285</v>
      </c>
      <c r="E194" s="3">
        <v>198</v>
      </c>
    </row>
    <row r="195" spans="1:5" hidden="1">
      <c r="A195" s="2" t="s">
        <v>182</v>
      </c>
      <c r="B195" s="2" t="s">
        <v>282</v>
      </c>
      <c r="C195" s="2" t="s">
        <v>283</v>
      </c>
      <c r="D195" s="2" t="s">
        <v>286</v>
      </c>
      <c r="E195" s="3">
        <v>198</v>
      </c>
    </row>
    <row r="196" spans="1:5" hidden="1">
      <c r="A196" s="2" t="s">
        <v>182</v>
      </c>
      <c r="B196" s="2" t="s">
        <v>282</v>
      </c>
      <c r="C196" s="2" t="s">
        <v>283</v>
      </c>
      <c r="D196" s="2" t="s">
        <v>287</v>
      </c>
      <c r="E196" s="3">
        <v>198</v>
      </c>
    </row>
    <row r="197" spans="1:5" hidden="1">
      <c r="A197" s="2" t="s">
        <v>182</v>
      </c>
      <c r="B197" s="2" t="s">
        <v>282</v>
      </c>
      <c r="C197" s="2" t="s">
        <v>288</v>
      </c>
      <c r="D197" s="2" t="s">
        <v>289</v>
      </c>
      <c r="E197" s="3">
        <v>198</v>
      </c>
    </row>
    <row r="198" spans="1:5" hidden="1">
      <c r="A198" s="2" t="s">
        <v>182</v>
      </c>
      <c r="B198" s="2" t="s">
        <v>282</v>
      </c>
      <c r="C198" s="2" t="s">
        <v>288</v>
      </c>
      <c r="D198" s="2" t="s">
        <v>290</v>
      </c>
      <c r="E198" s="3">
        <v>198</v>
      </c>
    </row>
    <row r="199" spans="1:5" hidden="1">
      <c r="A199" s="2" t="s">
        <v>182</v>
      </c>
      <c r="B199" s="2" t="s">
        <v>282</v>
      </c>
      <c r="C199" s="2" t="s">
        <v>288</v>
      </c>
      <c r="D199" s="2" t="s">
        <v>291</v>
      </c>
      <c r="E199" s="3">
        <v>198</v>
      </c>
    </row>
    <row r="200" spans="1:5" hidden="1">
      <c r="A200" s="2" t="s">
        <v>182</v>
      </c>
      <c r="B200" s="2" t="s">
        <v>282</v>
      </c>
      <c r="C200" s="2" t="s">
        <v>288</v>
      </c>
      <c r="D200" s="2" t="s">
        <v>292</v>
      </c>
      <c r="E200" s="3">
        <v>198</v>
      </c>
    </row>
    <row r="201" spans="1:5" hidden="1">
      <c r="A201" s="2" t="s">
        <v>182</v>
      </c>
      <c r="B201" s="2" t="s">
        <v>282</v>
      </c>
      <c r="C201" s="2" t="s">
        <v>288</v>
      </c>
      <c r="D201" s="2" t="s">
        <v>293</v>
      </c>
      <c r="E201" s="3">
        <v>198</v>
      </c>
    </row>
    <row r="202" spans="1:5" hidden="1">
      <c r="A202" s="2" t="s">
        <v>182</v>
      </c>
      <c r="B202" s="2" t="s">
        <v>282</v>
      </c>
      <c r="C202" s="2" t="s">
        <v>288</v>
      </c>
      <c r="D202" s="2" t="s">
        <v>294</v>
      </c>
      <c r="E202" s="3">
        <v>198</v>
      </c>
    </row>
    <row r="203" spans="1:5" hidden="1">
      <c r="A203" s="2" t="s">
        <v>182</v>
      </c>
      <c r="B203" s="2" t="s">
        <v>282</v>
      </c>
      <c r="C203" s="2" t="s">
        <v>295</v>
      </c>
      <c r="D203" s="2" t="s">
        <v>296</v>
      </c>
      <c r="E203" s="3">
        <v>198</v>
      </c>
    </row>
    <row r="204" spans="1:5" hidden="1">
      <c r="A204" s="2" t="s">
        <v>182</v>
      </c>
      <c r="B204" s="2" t="s">
        <v>282</v>
      </c>
      <c r="C204" s="2" t="s">
        <v>295</v>
      </c>
      <c r="D204" s="2" t="s">
        <v>297</v>
      </c>
      <c r="E204" s="3">
        <v>198</v>
      </c>
    </row>
    <row r="205" spans="1:5" ht="28.5" hidden="1">
      <c r="A205" s="2" t="s">
        <v>182</v>
      </c>
      <c r="B205" s="2" t="s">
        <v>282</v>
      </c>
      <c r="C205" s="2" t="s">
        <v>298</v>
      </c>
      <c r="D205" s="2" t="s">
        <v>299</v>
      </c>
      <c r="E205" s="3">
        <v>198</v>
      </c>
    </row>
    <row r="206" spans="1:5" hidden="1">
      <c r="A206" s="2" t="s">
        <v>182</v>
      </c>
      <c r="B206" s="2" t="s">
        <v>300</v>
      </c>
      <c r="C206" s="2" t="s">
        <v>301</v>
      </c>
      <c r="D206" s="2" t="s">
        <v>302</v>
      </c>
      <c r="E206" s="3">
        <v>199</v>
      </c>
    </row>
    <row r="207" spans="1:5" hidden="1">
      <c r="A207" s="2" t="s">
        <v>182</v>
      </c>
      <c r="B207" s="2" t="s">
        <v>300</v>
      </c>
      <c r="C207" s="2" t="s">
        <v>301</v>
      </c>
      <c r="D207" s="2" t="s">
        <v>303</v>
      </c>
      <c r="E207" s="3">
        <v>199</v>
      </c>
    </row>
    <row r="208" spans="1:5" hidden="1">
      <c r="A208" s="2" t="s">
        <v>182</v>
      </c>
      <c r="B208" s="2" t="s">
        <v>300</v>
      </c>
      <c r="C208" s="2" t="s">
        <v>301</v>
      </c>
      <c r="D208" s="2" t="s">
        <v>304</v>
      </c>
      <c r="E208" s="3">
        <v>199</v>
      </c>
    </row>
    <row r="209" spans="1:5" hidden="1">
      <c r="A209" s="2" t="s">
        <v>182</v>
      </c>
      <c r="B209" s="2" t="s">
        <v>300</v>
      </c>
      <c r="C209" s="2" t="s">
        <v>301</v>
      </c>
      <c r="D209" s="2" t="s">
        <v>305</v>
      </c>
      <c r="E209" s="3">
        <v>199</v>
      </c>
    </row>
    <row r="210" spans="1:5" hidden="1">
      <c r="A210" s="2" t="s">
        <v>182</v>
      </c>
      <c r="B210" s="2" t="s">
        <v>300</v>
      </c>
      <c r="C210" s="2" t="s">
        <v>301</v>
      </c>
      <c r="D210" s="2" t="s">
        <v>306</v>
      </c>
      <c r="E210" s="3">
        <v>199</v>
      </c>
    </row>
    <row r="211" spans="1:5" ht="28.5" hidden="1">
      <c r="A211" s="2" t="s">
        <v>182</v>
      </c>
      <c r="B211" s="2" t="s">
        <v>307</v>
      </c>
      <c r="C211" s="2" t="s">
        <v>308</v>
      </c>
      <c r="D211" s="2" t="s">
        <v>309</v>
      </c>
      <c r="E211" s="3">
        <v>200</v>
      </c>
    </row>
    <row r="212" spans="1:5" ht="28.5" hidden="1">
      <c r="A212" s="2" t="s">
        <v>182</v>
      </c>
      <c r="B212" s="2" t="s">
        <v>307</v>
      </c>
      <c r="C212" s="2" t="s">
        <v>308</v>
      </c>
      <c r="D212" s="2" t="s">
        <v>310</v>
      </c>
      <c r="E212" s="3">
        <v>200</v>
      </c>
    </row>
    <row r="213" spans="1:5" ht="28.5" hidden="1">
      <c r="A213" s="2" t="s">
        <v>182</v>
      </c>
      <c r="B213" s="2" t="s">
        <v>307</v>
      </c>
      <c r="C213" s="2" t="s">
        <v>308</v>
      </c>
      <c r="D213" s="2" t="s">
        <v>311</v>
      </c>
      <c r="E213" s="3">
        <v>200</v>
      </c>
    </row>
    <row r="214" spans="1:5" ht="28.5" hidden="1">
      <c r="A214" s="2" t="s">
        <v>182</v>
      </c>
      <c r="B214" s="2" t="s">
        <v>307</v>
      </c>
      <c r="C214" s="2" t="s">
        <v>308</v>
      </c>
      <c r="D214" s="2" t="s">
        <v>312</v>
      </c>
      <c r="E214" s="3">
        <v>200</v>
      </c>
    </row>
    <row r="215" spans="1:5" ht="28.5" hidden="1">
      <c r="A215" s="2" t="s">
        <v>182</v>
      </c>
      <c r="B215" s="2" t="s">
        <v>307</v>
      </c>
      <c r="C215" s="2" t="s">
        <v>308</v>
      </c>
      <c r="D215" s="2" t="s">
        <v>313</v>
      </c>
      <c r="E215" s="3">
        <v>200</v>
      </c>
    </row>
    <row r="216" spans="1:5" ht="28.5" hidden="1">
      <c r="A216" s="2" t="s">
        <v>182</v>
      </c>
      <c r="B216" s="2" t="s">
        <v>307</v>
      </c>
      <c r="C216" s="2" t="s">
        <v>308</v>
      </c>
      <c r="D216" s="2" t="s">
        <v>314</v>
      </c>
      <c r="E216" s="3">
        <v>200</v>
      </c>
    </row>
    <row r="217" spans="1:5" hidden="1">
      <c r="A217" s="2" t="s">
        <v>315</v>
      </c>
      <c r="B217" s="2" t="s">
        <v>316</v>
      </c>
      <c r="C217" s="2" t="s">
        <v>317</v>
      </c>
      <c r="D217" s="2" t="s">
        <v>317</v>
      </c>
      <c r="E217" s="3">
        <v>202</v>
      </c>
    </row>
    <row r="218" spans="1:5" ht="28.5" hidden="1">
      <c r="A218" s="2" t="s">
        <v>315</v>
      </c>
      <c r="B218" s="2" t="s">
        <v>318</v>
      </c>
      <c r="C218" s="2" t="s">
        <v>319</v>
      </c>
      <c r="D218" s="2" t="s">
        <v>319</v>
      </c>
      <c r="E218" s="3">
        <v>203</v>
      </c>
    </row>
    <row r="219" spans="1:5" ht="28.5" hidden="1">
      <c r="A219" s="2" t="s">
        <v>315</v>
      </c>
      <c r="B219" s="2" t="s">
        <v>318</v>
      </c>
      <c r="C219" s="2" t="s">
        <v>319</v>
      </c>
      <c r="D219" s="2" t="s">
        <v>320</v>
      </c>
      <c r="E219" s="3">
        <v>203</v>
      </c>
    </row>
    <row r="220" spans="1:5" ht="28.5" hidden="1">
      <c r="A220" s="2" t="s">
        <v>315</v>
      </c>
      <c r="B220" s="2" t="s">
        <v>318</v>
      </c>
      <c r="C220" s="2" t="s">
        <v>319</v>
      </c>
      <c r="D220" s="2" t="s">
        <v>321</v>
      </c>
      <c r="E220" s="3">
        <v>203</v>
      </c>
    </row>
    <row r="221" spans="1:5" ht="28.5" hidden="1">
      <c r="A221" s="2" t="s">
        <v>315</v>
      </c>
      <c r="B221" s="2" t="s">
        <v>318</v>
      </c>
      <c r="C221" s="2" t="s">
        <v>322</v>
      </c>
      <c r="D221" s="2" t="s">
        <v>323</v>
      </c>
      <c r="E221" s="3">
        <v>203</v>
      </c>
    </row>
    <row r="222" spans="1:5" ht="28.5" hidden="1">
      <c r="A222" s="2" t="s">
        <v>315</v>
      </c>
      <c r="B222" s="2" t="s">
        <v>318</v>
      </c>
      <c r="C222" s="2" t="s">
        <v>324</v>
      </c>
      <c r="D222" s="2" t="s">
        <v>325</v>
      </c>
      <c r="E222" s="3">
        <v>203</v>
      </c>
    </row>
    <row r="223" spans="1:5" ht="28.5" hidden="1">
      <c r="A223" s="2" t="s">
        <v>315</v>
      </c>
      <c r="B223" s="2" t="s">
        <v>318</v>
      </c>
      <c r="C223" s="2" t="s">
        <v>324</v>
      </c>
      <c r="D223" s="2" t="s">
        <v>326</v>
      </c>
      <c r="E223" s="3">
        <v>203</v>
      </c>
    </row>
    <row r="224" spans="1:5" ht="28.5" hidden="1">
      <c r="A224" s="2" t="s">
        <v>315</v>
      </c>
      <c r="B224" s="2" t="s">
        <v>318</v>
      </c>
      <c r="C224" s="2" t="s">
        <v>327</v>
      </c>
      <c r="D224" s="2" t="s">
        <v>328</v>
      </c>
      <c r="E224" s="3">
        <v>203</v>
      </c>
    </row>
    <row r="225" spans="1:5" ht="28.5" hidden="1">
      <c r="A225" s="2" t="s">
        <v>315</v>
      </c>
      <c r="B225" s="2" t="s">
        <v>318</v>
      </c>
      <c r="C225" s="2" t="s">
        <v>329</v>
      </c>
      <c r="D225" s="2" t="s">
        <v>330</v>
      </c>
      <c r="E225" s="3">
        <v>203</v>
      </c>
    </row>
    <row r="226" spans="1:5" ht="28.5" hidden="1">
      <c r="A226" s="2" t="s">
        <v>315</v>
      </c>
      <c r="B226" s="2" t="s">
        <v>318</v>
      </c>
      <c r="C226" s="2" t="s">
        <v>329</v>
      </c>
      <c r="D226" s="2" t="s">
        <v>331</v>
      </c>
      <c r="E226" s="3">
        <v>203</v>
      </c>
    </row>
    <row r="227" spans="1:5" ht="28.5" hidden="1">
      <c r="A227" s="2" t="s">
        <v>315</v>
      </c>
      <c r="B227" s="2" t="s">
        <v>318</v>
      </c>
      <c r="C227" s="2" t="s">
        <v>329</v>
      </c>
      <c r="D227" s="2" t="s">
        <v>332</v>
      </c>
      <c r="E227" s="3">
        <v>203</v>
      </c>
    </row>
    <row r="228" spans="1:5" hidden="1">
      <c r="A228" s="2" t="s">
        <v>315</v>
      </c>
      <c r="B228" s="2" t="s">
        <v>333</v>
      </c>
      <c r="C228" s="2" t="s">
        <v>324</v>
      </c>
      <c r="D228" s="2" t="s">
        <v>334</v>
      </c>
      <c r="E228" s="3">
        <v>204</v>
      </c>
    </row>
    <row r="229" spans="1:5" hidden="1">
      <c r="A229" s="2" t="s">
        <v>315</v>
      </c>
      <c r="B229" s="2" t="s">
        <v>333</v>
      </c>
      <c r="C229" s="2" t="s">
        <v>324</v>
      </c>
      <c r="D229" s="2" t="s">
        <v>335</v>
      </c>
      <c r="E229" s="3">
        <v>204</v>
      </c>
    </row>
    <row r="230" spans="1:5" hidden="1">
      <c r="A230" s="2" t="s">
        <v>315</v>
      </c>
      <c r="B230" s="2" t="s">
        <v>333</v>
      </c>
      <c r="C230" s="2" t="s">
        <v>336</v>
      </c>
      <c r="D230" s="2" t="s">
        <v>337</v>
      </c>
      <c r="E230" s="3">
        <v>204</v>
      </c>
    </row>
    <row r="231" spans="1:5" hidden="1">
      <c r="A231" s="2" t="s">
        <v>315</v>
      </c>
      <c r="B231" s="2" t="s">
        <v>333</v>
      </c>
      <c r="C231" s="2" t="s">
        <v>336</v>
      </c>
      <c r="D231" s="2" t="s">
        <v>338</v>
      </c>
      <c r="E231" s="3">
        <v>204</v>
      </c>
    </row>
    <row r="232" spans="1:5" hidden="1">
      <c r="A232" s="2" t="s">
        <v>315</v>
      </c>
      <c r="B232" s="2" t="s">
        <v>333</v>
      </c>
      <c r="C232" s="2" t="s">
        <v>327</v>
      </c>
      <c r="D232" s="2" t="s">
        <v>339</v>
      </c>
      <c r="E232" s="3">
        <v>204</v>
      </c>
    </row>
    <row r="233" spans="1:5" hidden="1">
      <c r="A233" s="2" t="s">
        <v>315</v>
      </c>
      <c r="B233" s="2" t="s">
        <v>333</v>
      </c>
      <c r="C233" s="2" t="s">
        <v>327</v>
      </c>
      <c r="D233" s="2" t="s">
        <v>340</v>
      </c>
      <c r="E233" s="3">
        <v>204</v>
      </c>
    </row>
    <row r="234" spans="1:5" hidden="1">
      <c r="A234" s="2" t="s">
        <v>315</v>
      </c>
      <c r="B234" s="2" t="s">
        <v>333</v>
      </c>
      <c r="C234" s="2" t="s">
        <v>341</v>
      </c>
      <c r="D234" s="2" t="s">
        <v>342</v>
      </c>
      <c r="E234" s="3">
        <v>204</v>
      </c>
    </row>
    <row r="235" spans="1:5" hidden="1">
      <c r="A235" s="2" t="s">
        <v>315</v>
      </c>
      <c r="B235" s="2" t="s">
        <v>333</v>
      </c>
      <c r="C235" s="2" t="s">
        <v>341</v>
      </c>
      <c r="D235" s="2" t="s">
        <v>343</v>
      </c>
      <c r="E235" s="3">
        <v>204</v>
      </c>
    </row>
    <row r="236" spans="1:5" hidden="1">
      <c r="A236" s="2" t="s">
        <v>315</v>
      </c>
      <c r="B236" s="2" t="s">
        <v>333</v>
      </c>
      <c r="C236" s="2" t="s">
        <v>341</v>
      </c>
      <c r="D236" s="2" t="s">
        <v>344</v>
      </c>
      <c r="E236" s="3">
        <v>204</v>
      </c>
    </row>
    <row r="237" spans="1:5" hidden="1">
      <c r="A237" s="2" t="s">
        <v>315</v>
      </c>
      <c r="B237" s="2" t="s">
        <v>333</v>
      </c>
      <c r="C237" s="2" t="s">
        <v>341</v>
      </c>
      <c r="D237" s="2" t="s">
        <v>345</v>
      </c>
      <c r="E237" s="3">
        <v>204</v>
      </c>
    </row>
    <row r="238" spans="1:5" hidden="1">
      <c r="A238" s="2" t="s">
        <v>315</v>
      </c>
      <c r="B238" s="2" t="s">
        <v>333</v>
      </c>
      <c r="C238" s="2" t="s">
        <v>346</v>
      </c>
      <c r="D238" s="2" t="s">
        <v>346</v>
      </c>
      <c r="E238" s="3">
        <v>204</v>
      </c>
    </row>
    <row r="239" spans="1:5" hidden="1">
      <c r="A239" s="2" t="s">
        <v>315</v>
      </c>
      <c r="B239" s="2" t="s">
        <v>333</v>
      </c>
      <c r="C239" s="2" t="s">
        <v>322</v>
      </c>
      <c r="D239" s="2" t="s">
        <v>347</v>
      </c>
      <c r="E239" s="3">
        <v>204</v>
      </c>
    </row>
    <row r="240" spans="1:5" hidden="1">
      <c r="A240" s="2" t="s">
        <v>315</v>
      </c>
      <c r="B240" s="2" t="s">
        <v>333</v>
      </c>
      <c r="C240" s="2" t="s">
        <v>322</v>
      </c>
      <c r="D240" s="2" t="s">
        <v>348</v>
      </c>
      <c r="E240" s="3">
        <v>204</v>
      </c>
    </row>
    <row r="241" spans="1:5" hidden="1">
      <c r="A241" s="2" t="s">
        <v>315</v>
      </c>
      <c r="B241" s="2" t="s">
        <v>349</v>
      </c>
      <c r="C241" s="2" t="s">
        <v>350</v>
      </c>
      <c r="D241" s="2" t="s">
        <v>350</v>
      </c>
      <c r="E241" s="3">
        <v>205</v>
      </c>
    </row>
    <row r="242" spans="1:5" hidden="1">
      <c r="A242" s="2" t="s">
        <v>315</v>
      </c>
      <c r="B242" s="2" t="s">
        <v>349</v>
      </c>
      <c r="C242" s="2" t="s">
        <v>351</v>
      </c>
      <c r="D242" s="2" t="s">
        <v>352</v>
      </c>
      <c r="E242" s="3">
        <v>205</v>
      </c>
    </row>
    <row r="243" spans="1:5" hidden="1">
      <c r="A243" s="2" t="s">
        <v>315</v>
      </c>
      <c r="B243" s="2" t="s">
        <v>349</v>
      </c>
      <c r="C243" s="2" t="s">
        <v>351</v>
      </c>
      <c r="D243" s="2" t="s">
        <v>353</v>
      </c>
      <c r="E243" s="3">
        <v>205</v>
      </c>
    </row>
    <row r="244" spans="1:5" hidden="1">
      <c r="A244" s="2" t="s">
        <v>315</v>
      </c>
      <c r="B244" s="2" t="s">
        <v>349</v>
      </c>
      <c r="C244" s="2" t="s">
        <v>354</v>
      </c>
      <c r="D244" s="2" t="s">
        <v>355</v>
      </c>
      <c r="E244" s="3">
        <v>205</v>
      </c>
    </row>
    <row r="245" spans="1:5" hidden="1">
      <c r="A245" s="2" t="s">
        <v>315</v>
      </c>
      <c r="B245" s="2" t="s">
        <v>349</v>
      </c>
      <c r="C245" s="2" t="s">
        <v>356</v>
      </c>
      <c r="D245" s="2" t="s">
        <v>357</v>
      </c>
      <c r="E245" s="3">
        <v>205</v>
      </c>
    </row>
    <row r="246" spans="1:5" ht="28.5" hidden="1">
      <c r="A246" s="2" t="s">
        <v>315</v>
      </c>
      <c r="B246" s="2" t="s">
        <v>358</v>
      </c>
      <c r="C246" s="2" t="s">
        <v>359</v>
      </c>
      <c r="D246" s="2" t="s">
        <v>360</v>
      </c>
      <c r="E246" s="3">
        <v>206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8" customWidth="1"/>
    <col min="2" max="2" width="82" customWidth="1"/>
    <col min="3" max="4" width="23" customWidth="1"/>
    <col min="5" max="5" width="12" customWidth="1"/>
  </cols>
  <sheetData>
    <row r="1" spans="1:5" ht="30" customHeight="1">
      <c r="A1" s="1" t="s">
        <v>0</v>
      </c>
      <c r="B1" s="1" t="s">
        <v>1</v>
      </c>
      <c r="C1" s="1" t="s">
        <v>361</v>
      </c>
      <c r="D1" s="1" t="s">
        <v>362</v>
      </c>
      <c r="E1" s="1" t="s">
        <v>4</v>
      </c>
    </row>
    <row r="2" spans="1:5">
      <c r="A2" s="2" t="s">
        <v>5</v>
      </c>
      <c r="B2" s="2" t="s">
        <v>6</v>
      </c>
      <c r="C2" s="3">
        <v>1</v>
      </c>
      <c r="D2" s="3">
        <v>3</v>
      </c>
      <c r="E2" s="3">
        <v>170</v>
      </c>
    </row>
    <row r="3" spans="1:5">
      <c r="A3" s="2" t="s">
        <v>5</v>
      </c>
      <c r="B3" s="2" t="s">
        <v>11</v>
      </c>
      <c r="C3" s="3">
        <v>3</v>
      </c>
      <c r="D3" s="3">
        <v>4</v>
      </c>
      <c r="E3" s="3">
        <v>171</v>
      </c>
    </row>
    <row r="4" spans="1:5" ht="28.5">
      <c r="A4" s="2" t="s">
        <v>19</v>
      </c>
      <c r="B4" s="2" t="s">
        <v>20</v>
      </c>
      <c r="C4" s="3">
        <v>4</v>
      </c>
      <c r="D4" s="3">
        <v>8</v>
      </c>
      <c r="E4" s="3">
        <v>173</v>
      </c>
    </row>
    <row r="5" spans="1:5">
      <c r="A5" s="2" t="s">
        <v>19</v>
      </c>
      <c r="B5" s="2" t="s">
        <v>33</v>
      </c>
      <c r="C5" s="3">
        <v>1</v>
      </c>
      <c r="D5" s="3">
        <v>2</v>
      </c>
      <c r="E5" s="3">
        <v>174</v>
      </c>
    </row>
    <row r="6" spans="1:5" ht="28.5">
      <c r="A6" s="2" t="s">
        <v>19</v>
      </c>
      <c r="B6" s="2" t="s">
        <v>36</v>
      </c>
      <c r="C6" s="3">
        <v>9</v>
      </c>
      <c r="D6" s="3">
        <v>21</v>
      </c>
      <c r="E6" s="3">
        <v>175</v>
      </c>
    </row>
    <row r="7" spans="1:5" ht="28.5">
      <c r="A7" s="2" t="s">
        <v>19</v>
      </c>
      <c r="B7" s="2" t="s">
        <v>66</v>
      </c>
      <c r="C7" s="3">
        <v>5</v>
      </c>
      <c r="D7" s="3">
        <v>13</v>
      </c>
      <c r="E7" s="3">
        <v>176</v>
      </c>
    </row>
    <row r="8" spans="1:5" ht="28.5">
      <c r="A8" s="2" t="s">
        <v>19</v>
      </c>
      <c r="B8" s="2" t="s">
        <v>84</v>
      </c>
      <c r="C8" s="3">
        <v>2</v>
      </c>
      <c r="D8" s="3">
        <v>6</v>
      </c>
      <c r="E8" s="3">
        <v>177</v>
      </c>
    </row>
    <row r="9" spans="1:5">
      <c r="A9" s="2" t="s">
        <v>19</v>
      </c>
      <c r="B9" s="2" t="s">
        <v>92</v>
      </c>
      <c r="C9" s="3">
        <v>4</v>
      </c>
      <c r="D9" s="3">
        <v>13</v>
      </c>
      <c r="E9" s="3">
        <v>178</v>
      </c>
    </row>
    <row r="10" spans="1:5">
      <c r="A10" s="2" t="s">
        <v>19</v>
      </c>
      <c r="B10" s="2" t="s">
        <v>110</v>
      </c>
      <c r="C10" s="3">
        <v>2</v>
      </c>
      <c r="D10" s="3">
        <v>3</v>
      </c>
      <c r="E10" s="3">
        <v>179</v>
      </c>
    </row>
    <row r="11" spans="1:5" ht="28.5">
      <c r="A11" s="2" t="s">
        <v>19</v>
      </c>
      <c r="B11" s="2" t="s">
        <v>116</v>
      </c>
      <c r="C11" s="3">
        <v>4</v>
      </c>
      <c r="D11" s="3">
        <v>7</v>
      </c>
      <c r="E11" s="3">
        <v>180</v>
      </c>
    </row>
    <row r="12" spans="1:5">
      <c r="A12" s="2" t="s">
        <v>19</v>
      </c>
      <c r="B12" s="2" t="s">
        <v>127</v>
      </c>
      <c r="C12" s="3">
        <v>3</v>
      </c>
      <c r="D12" s="3">
        <v>11</v>
      </c>
      <c r="E12" s="3">
        <v>181</v>
      </c>
    </row>
    <row r="13" spans="1:5">
      <c r="A13" s="2" t="s">
        <v>142</v>
      </c>
      <c r="B13" s="2" t="s">
        <v>143</v>
      </c>
      <c r="C13" s="3">
        <v>12</v>
      </c>
      <c r="D13" s="3">
        <v>28</v>
      </c>
      <c r="E13" s="3">
        <v>183</v>
      </c>
    </row>
    <row r="14" spans="1:5">
      <c r="A14" s="2" t="s">
        <v>182</v>
      </c>
      <c r="B14" s="2" t="s">
        <v>183</v>
      </c>
      <c r="C14" s="3">
        <v>1</v>
      </c>
      <c r="D14" s="3">
        <v>3</v>
      </c>
      <c r="E14" s="3">
        <v>185</v>
      </c>
    </row>
    <row r="15" spans="1:5">
      <c r="A15" s="2" t="s">
        <v>182</v>
      </c>
      <c r="B15" s="2" t="s">
        <v>188</v>
      </c>
      <c r="C15" s="3">
        <v>2</v>
      </c>
      <c r="D15" s="3">
        <v>7</v>
      </c>
      <c r="E15" s="3">
        <v>186</v>
      </c>
    </row>
    <row r="16" spans="1:5">
      <c r="A16" s="2" t="s">
        <v>182</v>
      </c>
      <c r="B16" s="2" t="s">
        <v>198</v>
      </c>
      <c r="C16" s="3">
        <v>1</v>
      </c>
      <c r="D16" s="3">
        <v>3</v>
      </c>
      <c r="E16" s="3">
        <v>187</v>
      </c>
    </row>
    <row r="17" spans="1:5">
      <c r="A17" s="2" t="s">
        <v>182</v>
      </c>
      <c r="B17" s="2" t="s">
        <v>203</v>
      </c>
      <c r="C17" s="3">
        <v>1</v>
      </c>
      <c r="D17" s="3">
        <v>2</v>
      </c>
      <c r="E17" s="3">
        <v>188</v>
      </c>
    </row>
    <row r="18" spans="1:5">
      <c r="A18" s="2" t="s">
        <v>182</v>
      </c>
      <c r="B18" s="2" t="s">
        <v>204</v>
      </c>
      <c r="C18" s="3">
        <v>1</v>
      </c>
      <c r="D18" s="3">
        <v>3</v>
      </c>
      <c r="E18" s="3">
        <v>189</v>
      </c>
    </row>
    <row r="19" spans="1:5">
      <c r="A19" s="2" t="s">
        <v>182</v>
      </c>
      <c r="B19" s="2" t="s">
        <v>209</v>
      </c>
      <c r="C19" s="3">
        <v>1</v>
      </c>
      <c r="D19" s="3">
        <v>5</v>
      </c>
      <c r="E19" s="3">
        <v>190</v>
      </c>
    </row>
    <row r="20" spans="1:5">
      <c r="A20" s="2" t="s">
        <v>182</v>
      </c>
      <c r="B20" s="2" t="s">
        <v>216</v>
      </c>
      <c r="C20" s="3">
        <v>2</v>
      </c>
      <c r="D20" s="3">
        <v>9</v>
      </c>
      <c r="E20" s="3">
        <v>191</v>
      </c>
    </row>
    <row r="21" spans="1:5">
      <c r="A21" s="2" t="s">
        <v>182</v>
      </c>
      <c r="B21" s="2" t="s">
        <v>228</v>
      </c>
      <c r="C21" s="3">
        <v>1</v>
      </c>
      <c r="D21" s="3">
        <v>6</v>
      </c>
      <c r="E21" s="3">
        <v>192</v>
      </c>
    </row>
    <row r="22" spans="1:5">
      <c r="A22" s="2" t="s">
        <v>182</v>
      </c>
      <c r="B22" s="2" t="s">
        <v>236</v>
      </c>
      <c r="C22" s="3">
        <v>2</v>
      </c>
      <c r="D22" s="3">
        <v>4</v>
      </c>
      <c r="E22" s="3">
        <v>193</v>
      </c>
    </row>
    <row r="23" spans="1:5">
      <c r="A23" s="2" t="s">
        <v>182</v>
      </c>
      <c r="B23" s="2" t="s">
        <v>242</v>
      </c>
      <c r="C23" s="3">
        <v>2</v>
      </c>
      <c r="D23" s="3">
        <v>12</v>
      </c>
      <c r="E23" s="3">
        <v>194</v>
      </c>
    </row>
    <row r="24" spans="1:5">
      <c r="A24" s="2" t="s">
        <v>182</v>
      </c>
      <c r="B24" s="2" t="s">
        <v>257</v>
      </c>
      <c r="C24" s="3">
        <v>2</v>
      </c>
      <c r="D24" s="3">
        <v>4</v>
      </c>
      <c r="E24" s="3">
        <v>195</v>
      </c>
    </row>
    <row r="25" spans="1:5">
      <c r="A25" s="2" t="s">
        <v>182</v>
      </c>
      <c r="B25" s="2" t="s">
        <v>264</v>
      </c>
      <c r="C25" s="3">
        <v>2</v>
      </c>
      <c r="D25" s="3">
        <v>6</v>
      </c>
      <c r="E25" s="3">
        <v>196</v>
      </c>
    </row>
    <row r="26" spans="1:5">
      <c r="A26" s="2" t="s">
        <v>182</v>
      </c>
      <c r="B26" s="2" t="s">
        <v>272</v>
      </c>
      <c r="C26" s="3">
        <v>1</v>
      </c>
      <c r="D26" s="3">
        <v>8</v>
      </c>
      <c r="E26" s="3">
        <v>197</v>
      </c>
    </row>
    <row r="27" spans="1:5">
      <c r="A27" s="2" t="s">
        <v>182</v>
      </c>
      <c r="B27" s="2" t="s">
        <v>282</v>
      </c>
      <c r="C27" s="3">
        <v>4</v>
      </c>
      <c r="D27" s="3">
        <v>13</v>
      </c>
      <c r="E27" s="3">
        <v>198</v>
      </c>
    </row>
    <row r="28" spans="1:5">
      <c r="A28" s="2" t="s">
        <v>182</v>
      </c>
      <c r="B28" s="2" t="s">
        <v>300</v>
      </c>
      <c r="C28" s="3">
        <v>1</v>
      </c>
      <c r="D28" s="3">
        <v>5</v>
      </c>
      <c r="E28" s="3">
        <v>199</v>
      </c>
    </row>
    <row r="29" spans="1:5">
      <c r="A29" s="2" t="s">
        <v>182</v>
      </c>
      <c r="B29" s="2" t="s">
        <v>307</v>
      </c>
      <c r="C29" s="3">
        <v>1</v>
      </c>
      <c r="D29" s="3">
        <v>6</v>
      </c>
      <c r="E29" s="3">
        <v>200</v>
      </c>
    </row>
    <row r="30" spans="1:5">
      <c r="A30" s="2" t="s">
        <v>315</v>
      </c>
      <c r="B30" s="2" t="s">
        <v>316</v>
      </c>
      <c r="C30" s="3">
        <v>1</v>
      </c>
      <c r="D30" s="3">
        <v>1</v>
      </c>
      <c r="E30" s="3">
        <v>202</v>
      </c>
    </row>
    <row r="31" spans="1:5">
      <c r="A31" s="2" t="s">
        <v>315</v>
      </c>
      <c r="B31" s="2" t="s">
        <v>318</v>
      </c>
      <c r="C31" s="3">
        <v>5</v>
      </c>
      <c r="D31" s="3">
        <v>10</v>
      </c>
      <c r="E31" s="3">
        <v>203</v>
      </c>
    </row>
    <row r="32" spans="1:5">
      <c r="A32" s="2" t="s">
        <v>315</v>
      </c>
      <c r="B32" s="2" t="s">
        <v>333</v>
      </c>
      <c r="C32" s="3">
        <v>6</v>
      </c>
      <c r="D32" s="3">
        <v>13</v>
      </c>
      <c r="E32" s="3">
        <v>204</v>
      </c>
    </row>
    <row r="33" spans="1:5">
      <c r="A33" s="2" t="s">
        <v>315</v>
      </c>
      <c r="B33" s="2" t="s">
        <v>349</v>
      </c>
      <c r="C33" s="3">
        <v>4</v>
      </c>
      <c r="D33" s="3">
        <v>5</v>
      </c>
      <c r="E33" s="3">
        <v>205</v>
      </c>
    </row>
    <row r="34" spans="1:5">
      <c r="A34" s="2" t="s">
        <v>315</v>
      </c>
      <c r="B34" s="2" t="s">
        <v>358</v>
      </c>
      <c r="C34" s="3">
        <v>1</v>
      </c>
      <c r="D34" s="3">
        <v>1</v>
      </c>
      <c r="E34" s="3">
        <v>206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2" topLeftCell="A3" activePane="bottomLeft" state="frozen"/>
      <selection pane="bottomLeft" sqref="A1:E1"/>
    </sheetView>
  </sheetViews>
  <sheetFormatPr defaultRowHeight="14.25"/>
  <cols>
    <col min="1" max="1" width="47" customWidth="1"/>
    <col min="2" max="5" width="22" customWidth="1"/>
  </cols>
  <sheetData>
    <row r="1" spans="1:5" ht="33.950000000000003" customHeight="1">
      <c r="A1" s="7" t="s">
        <v>363</v>
      </c>
      <c r="B1" s="7"/>
      <c r="C1" s="7"/>
      <c r="D1" s="7"/>
      <c r="E1" s="7"/>
    </row>
    <row r="2" spans="1:5" ht="32.1" customHeight="1">
      <c r="A2" s="8" t="s">
        <v>364</v>
      </c>
      <c r="B2" s="8"/>
      <c r="C2" s="8"/>
      <c r="D2" s="8"/>
      <c r="E2" s="8"/>
    </row>
    <row r="4" spans="1:5" ht="15">
      <c r="A4" s="4" t="s">
        <v>365</v>
      </c>
      <c r="B4" s="4" t="s">
        <v>366</v>
      </c>
    </row>
    <row r="5" spans="1:5">
      <c r="A5" s="2" t="s">
        <v>367</v>
      </c>
      <c r="B5" s="3">
        <f>COUNTA('Por unidade'!B2:B34)</f>
        <v>33</v>
      </c>
    </row>
    <row r="6" spans="1:5">
      <c r="A6" s="2" t="s">
        <v>368</v>
      </c>
      <c r="B6" s="3">
        <f>SUM('Por unidade'!C2:C34)</f>
        <v>92</v>
      </c>
    </row>
    <row r="7" spans="1:5">
      <c r="A7" s="2" t="s">
        <v>369</v>
      </c>
      <c r="B7" s="3">
        <f>SUM('Por unidade'!D2:D34)</f>
        <v>245</v>
      </c>
    </row>
    <row r="10" spans="1:5" ht="30" customHeight="1">
      <c r="A10" s="1" t="s">
        <v>0</v>
      </c>
      <c r="B10" s="1" t="s">
        <v>370</v>
      </c>
      <c r="C10" s="1" t="s">
        <v>371</v>
      </c>
      <c r="D10" s="1" t="s">
        <v>372</v>
      </c>
    </row>
    <row r="11" spans="1:5">
      <c r="A11" t="s">
        <v>5</v>
      </c>
      <c r="B11" s="5">
        <f>COUNTIF('Por unidade'!$A$2:$A$34,A11)</f>
        <v>2</v>
      </c>
      <c r="C11" s="5">
        <f>SUMIF('Por unidade'!$A$2:$A$34,A11,'Por unidade'!$C$2:$C$34)</f>
        <v>4</v>
      </c>
      <c r="D11" s="5">
        <f>SUMIF('Por unidade'!$A$2:$A$34,A11,'Por unidade'!$D$2:$D$34)</f>
        <v>7</v>
      </c>
    </row>
    <row r="12" spans="1:5">
      <c r="A12" t="s">
        <v>19</v>
      </c>
      <c r="B12" s="5">
        <f>COUNTIF('Por unidade'!$A$2:$A$34,A12)</f>
        <v>9</v>
      </c>
      <c r="C12" s="5">
        <f>SUMIF('Por unidade'!$A$2:$A$34,A12,'Por unidade'!$C$2:$C$34)</f>
        <v>34</v>
      </c>
      <c r="D12" s="5">
        <f>SUMIF('Por unidade'!$A$2:$A$34,A12,'Por unidade'!$D$2:$D$34)</f>
        <v>84</v>
      </c>
    </row>
    <row r="13" spans="1:5">
      <c r="A13" t="s">
        <v>142</v>
      </c>
      <c r="B13" s="5">
        <f>COUNTIF('Por unidade'!$A$2:$A$34,A13)</f>
        <v>1</v>
      </c>
      <c r="C13" s="5">
        <f>SUMIF('Por unidade'!$A$2:$A$34,A13,'Por unidade'!$C$2:$C$34)</f>
        <v>12</v>
      </c>
      <c r="D13" s="5">
        <f>SUMIF('Por unidade'!$A$2:$A$34,A13,'Por unidade'!$D$2:$D$34)</f>
        <v>28</v>
      </c>
    </row>
    <row r="14" spans="1:5">
      <c r="A14" t="s">
        <v>182</v>
      </c>
      <c r="B14" s="5">
        <f>COUNTIF('Por unidade'!$A$2:$A$34,A14)</f>
        <v>16</v>
      </c>
      <c r="C14" s="5">
        <f>SUMIF('Por unidade'!$A$2:$A$34,A14,'Por unidade'!$C$2:$C$34)</f>
        <v>25</v>
      </c>
      <c r="D14" s="5">
        <f>SUMIF('Por unidade'!$A$2:$A$34,A14,'Por unidade'!$D$2:$D$34)</f>
        <v>96</v>
      </c>
    </row>
    <row r="15" spans="1:5">
      <c r="A15" t="s">
        <v>315</v>
      </c>
      <c r="B15" s="5">
        <f>COUNTIF('Por unidade'!$A$2:$A$34,A15)</f>
        <v>5</v>
      </c>
      <c r="C15" s="5">
        <f>SUMIF('Por unidade'!$A$2:$A$34,A15,'Por unidade'!$C$2:$C$34)</f>
        <v>17</v>
      </c>
      <c r="D15" s="5">
        <f>SUMIF('Por unidade'!$A$2:$A$34,A15,'Por unidade'!$D$2:$D$34)</f>
        <v>30</v>
      </c>
    </row>
    <row r="18" spans="1:5" ht="26.1" customHeight="1">
      <c r="A18" s="9" t="s">
        <v>373</v>
      </c>
      <c r="B18" s="9"/>
      <c r="C18" s="9"/>
      <c r="D18" s="9"/>
      <c r="E18" s="9"/>
    </row>
    <row r="19" spans="1:5" ht="36" customHeight="1">
      <c r="A19" s="6" t="s">
        <v>374</v>
      </c>
      <c r="B19" s="6"/>
      <c r="C19" s="6"/>
      <c r="D19" s="6"/>
      <c r="E19" s="6"/>
    </row>
    <row r="20" spans="1:5" ht="36" customHeight="1">
      <c r="A20" s="6" t="s">
        <v>375</v>
      </c>
      <c r="B20" s="6"/>
      <c r="C20" s="6"/>
      <c r="D20" s="6"/>
      <c r="E20" s="6"/>
    </row>
    <row r="21" spans="1:5" ht="36" customHeight="1">
      <c r="A21" s="6" t="s">
        <v>376</v>
      </c>
      <c r="B21" s="6"/>
      <c r="C21" s="6"/>
      <c r="D21" s="6"/>
      <c r="E21" s="6"/>
    </row>
    <row r="22" spans="1:5" ht="36" customHeight="1">
      <c r="A22" s="6" t="s">
        <v>377</v>
      </c>
      <c r="B22" s="6"/>
      <c r="C22" s="6"/>
      <c r="D22" s="6"/>
      <c r="E22" s="6"/>
    </row>
    <row r="23" spans="1:5" ht="36" customHeight="1">
      <c r="A23" s="6" t="s">
        <v>378</v>
      </c>
      <c r="B23" s="6"/>
      <c r="C23" s="6"/>
      <c r="D23" s="6"/>
      <c r="E23" s="6"/>
    </row>
    <row r="24" spans="1:5" ht="36" customHeight="1">
      <c r="A24" s="6" t="s">
        <v>379</v>
      </c>
      <c r="B24" s="6"/>
      <c r="C24" s="6"/>
      <c r="D24" s="6"/>
      <c r="E24" s="6"/>
    </row>
  </sheetData>
  <mergeCells count="9">
    <mergeCell ref="A21:E21"/>
    <mergeCell ref="A22:E22"/>
    <mergeCell ref="A23:E23"/>
    <mergeCell ref="A24:E24"/>
    <mergeCell ref="A1:E1"/>
    <mergeCell ref="A2:E2"/>
    <mergeCell ref="A18:E18"/>
    <mergeCell ref="A19:E19"/>
    <mergeCell ref="A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Detalhamento</vt:lpstr>
      <vt:lpstr>Por unidade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Tassio Ricardo Silva De Moraes</dc:creator>
  <cp:lastModifiedBy>Tassio Ricardo Silva De Moraes</cp:lastModifiedBy>
  <dcterms:created xsi:type="dcterms:W3CDTF">2026-10-13T18:24:54Z</dcterms:created>
  <dcterms:modified xsi:type="dcterms:W3CDTF">2026-10-14T16:49:30Z</dcterms:modified>
</cp:coreProperties>
</file>